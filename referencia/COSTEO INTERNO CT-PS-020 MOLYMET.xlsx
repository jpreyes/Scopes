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prey\Downloads\"/>
    </mc:Choice>
  </mc:AlternateContent>
  <xr:revisionPtr revIDLastSave="0" documentId="13_ncr:1_{78EAC9D4-6A30-4C13-B051-6A7C264A4010}" xr6:coauthVersionLast="47" xr6:coauthVersionMax="47" xr10:uidLastSave="{00000000-0000-0000-0000-000000000000}"/>
  <bookViews>
    <workbookView xWindow="-120" yWindow="-120" windowWidth="29040" windowHeight="15720" tabRatio="767" firstSheet="1" activeTab="2" xr2:uid="{00000000-000D-0000-FFFF-FFFF00000000}"/>
  </bookViews>
  <sheets>
    <sheet name="PR-ECO-TRANSELEC CRUCETAS" sheetId="18" r:id="rId1"/>
    <sheet name="PROPUESTA ECONOMICA ETAPA 1" sheetId="11" r:id="rId2"/>
    <sheet name="CARTA GANTT" sheetId="14" r:id="rId3"/>
  </sheets>
  <definedNames>
    <definedName name="_xlnm.Print_Area" localSheetId="1">'PROPUESTA ECONOMICA ETAPA 1'!$A$3:$A$20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33" i="11" l="1"/>
  <c r="BG33" i="11"/>
  <c r="AW33" i="11"/>
  <c r="I33" i="11"/>
  <c r="J33" i="11" s="1"/>
  <c r="BQ32" i="11"/>
  <c r="BG32" i="11"/>
  <c r="AW32" i="11"/>
  <c r="I32" i="11"/>
  <c r="J32" i="11" s="1"/>
  <c r="BQ31" i="11"/>
  <c r="BG31" i="11"/>
  <c r="AW31" i="11"/>
  <c r="I31" i="11"/>
  <c r="J31" i="11" s="1"/>
  <c r="AW34" i="11"/>
  <c r="BQ16" i="11"/>
  <c r="BG16" i="11"/>
  <c r="AW16" i="11"/>
  <c r="I16" i="11"/>
  <c r="J16" i="11" s="1"/>
  <c r="BQ15" i="11"/>
  <c r="BG15" i="11"/>
  <c r="AW15" i="11"/>
  <c r="I15" i="11"/>
  <c r="J15" i="11" s="1"/>
  <c r="BQ30" i="11"/>
  <c r="BG30" i="11"/>
  <c r="AW30" i="11"/>
  <c r="I30" i="11"/>
  <c r="J30" i="11" s="1"/>
  <c r="BQ29" i="11"/>
  <c r="BG29" i="11"/>
  <c r="AW29" i="11"/>
  <c r="I29" i="11"/>
  <c r="J29" i="11" s="1"/>
  <c r="BQ28" i="11"/>
  <c r="BG28" i="11"/>
  <c r="AW28" i="11"/>
  <c r="I28" i="11"/>
  <c r="J28" i="11" s="1"/>
  <c r="BQ27" i="11"/>
  <c r="BG27" i="11"/>
  <c r="AW27" i="11"/>
  <c r="I27" i="11"/>
  <c r="J27" i="11" s="1"/>
  <c r="BQ26" i="11"/>
  <c r="BG26" i="11"/>
  <c r="AW26" i="11"/>
  <c r="I26" i="11"/>
  <c r="J26" i="11" s="1"/>
  <c r="BQ25" i="11"/>
  <c r="BG25" i="11"/>
  <c r="AW25" i="11"/>
  <c r="I25" i="11"/>
  <c r="J25" i="11" s="1"/>
  <c r="BQ24" i="11"/>
  <c r="BG24" i="11"/>
  <c r="AW24" i="11"/>
  <c r="I24" i="11"/>
  <c r="J24" i="11" s="1"/>
  <c r="BQ23" i="11"/>
  <c r="BG23" i="11"/>
  <c r="AW23" i="11"/>
  <c r="BQ22" i="11"/>
  <c r="BG22" i="11"/>
  <c r="AW22" i="11"/>
  <c r="BQ18" i="11"/>
  <c r="BG18" i="11"/>
  <c r="AW18" i="11"/>
  <c r="I18" i="11"/>
  <c r="J18" i="11" s="1"/>
  <c r="BQ17" i="11"/>
  <c r="BG17" i="11"/>
  <c r="AW17" i="11"/>
  <c r="I17" i="11"/>
  <c r="J17" i="11" s="1"/>
  <c r="BQ14" i="11"/>
  <c r="BG14" i="11"/>
  <c r="AW14" i="11"/>
  <c r="I14" i="11"/>
  <c r="J14" i="11" s="1"/>
  <c r="BQ13" i="11"/>
  <c r="BG13" i="11"/>
  <c r="AW13" i="11"/>
  <c r="I13" i="11"/>
  <c r="J13" i="11" s="1"/>
  <c r="BQ19" i="11"/>
  <c r="BG19" i="11"/>
  <c r="AW19" i="11"/>
  <c r="I19" i="11"/>
  <c r="J19" i="11" s="1"/>
  <c r="BQ7" i="11"/>
  <c r="BG7" i="11"/>
  <c r="AW7" i="11"/>
  <c r="I7" i="11"/>
  <c r="J7" i="11" s="1"/>
  <c r="BQ6" i="11"/>
  <c r="BG6" i="11"/>
  <c r="AW6" i="11"/>
  <c r="I6" i="11"/>
  <c r="J6" i="11" s="1"/>
  <c r="J34" i="11" l="1"/>
  <c r="J20" i="11"/>
  <c r="I9" i="11" l="1"/>
  <c r="J9" i="11" s="1"/>
  <c r="I8" i="11"/>
  <c r="J8" i="11" s="1"/>
  <c r="J10" i="11" s="1"/>
  <c r="J36" i="11" s="1"/>
  <c r="J37" i="11" l="1"/>
  <c r="J38" i="11" s="1"/>
  <c r="BQ12" i="11" l="1"/>
  <c r="BQ11" i="11"/>
  <c r="BQ10" i="11"/>
  <c r="BQ8" i="11"/>
  <c r="BQ5" i="11"/>
  <c r="BQ4" i="11"/>
  <c r="BQ3" i="11"/>
  <c r="BQ2" i="11"/>
  <c r="BG2" i="11"/>
  <c r="BG12" i="11"/>
  <c r="BG11" i="11"/>
  <c r="BG10" i="11"/>
  <c r="BG8" i="11"/>
  <c r="BG5" i="11"/>
  <c r="BG4" i="11"/>
  <c r="BG3" i="11"/>
  <c r="AW3" i="11"/>
  <c r="AW4" i="11"/>
  <c r="AW5" i="11"/>
  <c r="AW8" i="11"/>
  <c r="AW10" i="11"/>
  <c r="AW11" i="11"/>
  <c r="AW12" i="11"/>
  <c r="AW20" i="11"/>
  <c r="AW2" i="11"/>
  <c r="J39" i="11" l="1"/>
  <c r="G9" i="18"/>
  <c r="I9" i="18" s="1"/>
  <c r="J9" i="18" s="1"/>
  <c r="G11" i="18"/>
  <c r="G10" i="18"/>
  <c r="G12" i="18" l="1"/>
</calcChain>
</file>

<file path=xl/sharedStrings.xml><?xml version="1.0" encoding="utf-8"?>
<sst xmlns="http://schemas.openxmlformats.org/spreadsheetml/2006/main" count="350" uniqueCount="119">
  <si>
    <t>PROYECTO DE INGENIERÍA</t>
  </si>
  <si>
    <t>ITEM</t>
  </si>
  <si>
    <t>DESCRIPCION</t>
  </si>
  <si>
    <t>UNITARIO</t>
  </si>
  <si>
    <t>CANTIDAD</t>
  </si>
  <si>
    <t>TOTAL</t>
  </si>
  <si>
    <t>1.1</t>
  </si>
  <si>
    <t>1.2</t>
  </si>
  <si>
    <t>1.3</t>
  </si>
  <si>
    <t>1.4</t>
  </si>
  <si>
    <t>1.5</t>
  </si>
  <si>
    <t>1.6</t>
  </si>
  <si>
    <t>1.7</t>
  </si>
  <si>
    <t>Etapa N°</t>
  </si>
  <si>
    <t>Estructura N°</t>
  </si>
  <si>
    <t>Tarifa Captura de Datos</t>
  </si>
  <si>
    <t>Tarifa Modelado 3D</t>
  </si>
  <si>
    <t>Componente Planimetría</t>
  </si>
  <si>
    <t xml:space="preserve">Tarífa Planimetría 1 Componente </t>
  </si>
  <si>
    <t>Tarifa Planimetría Torre Completa</t>
  </si>
  <si>
    <t>Ingeniería de Refuerzo (Memoria de Cálculo)</t>
  </si>
  <si>
    <t>Total Servicio hasta Planimetría Componente</t>
  </si>
  <si>
    <t>Planimetría 1 Componente</t>
  </si>
  <si>
    <t>Tarífa Planimetría   1 Componente</t>
  </si>
  <si>
    <t>Total Servicio hasta Planimetría Componentes</t>
  </si>
  <si>
    <t>E-20</t>
  </si>
  <si>
    <t>Par de Crucetas</t>
  </si>
  <si>
    <t>E-05</t>
  </si>
  <si>
    <t>Canastillo</t>
  </si>
  <si>
    <t>E-21</t>
  </si>
  <si>
    <t>E-06</t>
  </si>
  <si>
    <t>MAYOR COSTO</t>
  </si>
  <si>
    <t>E-22</t>
  </si>
  <si>
    <t>E-07</t>
  </si>
  <si>
    <t>UNIDAD</t>
  </si>
  <si>
    <t>P. UNITARIO</t>
  </si>
  <si>
    <t>E-23</t>
  </si>
  <si>
    <t>E-08</t>
  </si>
  <si>
    <t>E-24</t>
  </si>
  <si>
    <t>E-09</t>
  </si>
  <si>
    <t>E-26</t>
  </si>
  <si>
    <t>E-11</t>
  </si>
  <si>
    <t>E-27</t>
  </si>
  <si>
    <t>E-12</t>
  </si>
  <si>
    <t>IMPUESTO</t>
  </si>
  <si>
    <t>E-28</t>
  </si>
  <si>
    <t>E-13</t>
  </si>
  <si>
    <t>2.1</t>
  </si>
  <si>
    <t>E-29</t>
  </si>
  <si>
    <t>E-14</t>
  </si>
  <si>
    <t>2.2</t>
  </si>
  <si>
    <t>E-30</t>
  </si>
  <si>
    <t>E-15</t>
  </si>
  <si>
    <t>2.3</t>
  </si>
  <si>
    <t>2.4</t>
  </si>
  <si>
    <t>EPP</t>
  </si>
  <si>
    <t>E-39</t>
  </si>
  <si>
    <t>D</t>
  </si>
  <si>
    <t>MES 01</t>
  </si>
  <si>
    <t>SEMANA 01</t>
  </si>
  <si>
    <t>SEMANA 02</t>
  </si>
  <si>
    <t>1.0</t>
  </si>
  <si>
    <t>FASE CAPTURA DE DATOS</t>
  </si>
  <si>
    <t>2.0</t>
  </si>
  <si>
    <t>UTILIDADES</t>
  </si>
  <si>
    <t>TOTAL POR ESTRUCTURA CON UTILIDAD</t>
  </si>
  <si>
    <t>COSTO TOTAL</t>
  </si>
  <si>
    <t>INGENIERO OCC</t>
  </si>
  <si>
    <t>IMPUESTOS</t>
  </si>
  <si>
    <t>CONSTRUCTOR CIVIL</t>
  </si>
  <si>
    <t>JORNADA</t>
  </si>
  <si>
    <t>SERVICIO</t>
  </si>
  <si>
    <t>TECNICO SCANNER</t>
  </si>
  <si>
    <t>NUBE DE PUNTOS</t>
  </si>
  <si>
    <t>HON. BRUTO</t>
  </si>
  <si>
    <t>COSTOS PROYECTADOS</t>
  </si>
  <si>
    <t>PERSONAL</t>
  </si>
  <si>
    <t>(2) TRASLADOS, VIATICOS,</t>
  </si>
  <si>
    <t>(3) EQUIPOS, INSUMOS Y EPP</t>
  </si>
  <si>
    <t>PASAJES AEREOS</t>
  </si>
  <si>
    <t>HOTEL</t>
  </si>
  <si>
    <t>VIATICOS</t>
  </si>
  <si>
    <t>TRASFER AERO PUERTO</t>
  </si>
  <si>
    <t>PEAJES</t>
  </si>
  <si>
    <t>COMBUSTIBLE</t>
  </si>
  <si>
    <t>HIDRATACION</t>
  </si>
  <si>
    <t xml:space="preserve">Profometer PM8000 </t>
  </si>
  <si>
    <t>ESCLEROMETRO ZC3-A TEST HAMMER</t>
  </si>
  <si>
    <t>Ultrasónico Pundit 200</t>
  </si>
  <si>
    <t>ESCANNER</t>
  </si>
  <si>
    <t>EQUIPO</t>
  </si>
  <si>
    <t>FILTRO 3M 6004</t>
  </si>
  <si>
    <t>MASCARA 3M</t>
  </si>
  <si>
    <t xml:space="preserve">GUANTES </t>
  </si>
  <si>
    <t xml:space="preserve">LENTES 3M </t>
  </si>
  <si>
    <t>PROTECTOR AUDITIVO</t>
  </si>
  <si>
    <t>CASCO 3M</t>
  </si>
  <si>
    <t>EVALUACION ESTRUCTURAL</t>
  </si>
  <si>
    <t>EVALUACION ESTRUCTURAL LOZA MOLYMET</t>
  </si>
  <si>
    <t>TERRENO</t>
  </si>
  <si>
    <t>Auscultación de armadura</t>
  </si>
  <si>
    <t>Acreditacion empresan y personal</t>
  </si>
  <si>
    <t>Induccion personal</t>
  </si>
  <si>
    <t>Ensayo carbonatación del hormigón</t>
  </si>
  <si>
    <t>Ensayos no destructivos mediante impulsos ultrasónicos</t>
  </si>
  <si>
    <t>Ensayos no destructivos para la determinación del índice esclerométrico</t>
  </si>
  <si>
    <t>Levantamiento geométrico</t>
  </si>
  <si>
    <t>Escaner laser</t>
  </si>
  <si>
    <t>1.8</t>
  </si>
  <si>
    <t>ESTUDIOS DE RESULTADOS E INFORME FINAL</t>
  </si>
  <si>
    <t>Modelado nube de puntos</t>
  </si>
  <si>
    <t>Estudios y laboratorio</t>
  </si>
  <si>
    <t xml:space="preserve">Elavoracion de informes </t>
  </si>
  <si>
    <t>Entrega informes y recomendaciones</t>
  </si>
  <si>
    <t>TRASLADO</t>
  </si>
  <si>
    <t>VIATICO</t>
  </si>
  <si>
    <t>GASTOS ADMINISTRATIVOS</t>
  </si>
  <si>
    <t>LEVANTAMIENTO  - ESTANQUE APR RIÑINAHUE</t>
  </si>
  <si>
    <t>SEMANA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</si>
</sst>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&quot;$&quot;#,##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 Narrow"/>
      <family val="2"/>
    </font>
    <font>
      <sz val="1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0"/>
      <name val="Arial Narrow"/>
      <family val="2"/>
    </font>
    <font>
      <sz val="10"/>
      <color rgb="FF0D0D0D"/>
      <name val="Arial Narrow"/>
      <family val="2"/>
    </font>
    <font>
      <b/>
      <sz val="10"/>
      <color theme="0"/>
      <name val="Arial Narrow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083D67"/>
        <bgColor indexed="64"/>
      </patternFill>
    </fill>
    <fill>
      <patternFill patternType="solid">
        <fgColor rgb="FF3D5E83"/>
        <bgColor indexed="64"/>
      </patternFill>
    </fill>
    <fill>
      <patternFill patternType="solid">
        <fgColor rgb="FF5EA0B0"/>
        <bgColor indexed="64"/>
      </patternFill>
    </fill>
    <fill>
      <patternFill patternType="solid">
        <fgColor rgb="FF2BB9CA"/>
        <bgColor indexed="64"/>
      </patternFill>
    </fill>
    <fill>
      <patternFill patternType="darkTrellis">
        <fgColor theme="0"/>
        <bgColor rgb="FF5EA0B0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D7C841"/>
      </left>
      <right style="thin">
        <color indexed="64"/>
      </right>
      <top style="thick">
        <color rgb="FFD7C84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D7C841"/>
      </top>
      <bottom style="thin">
        <color indexed="64"/>
      </bottom>
      <diagonal/>
    </border>
    <border>
      <left style="thin">
        <color indexed="64"/>
      </left>
      <right style="thick">
        <color rgb="FFD7C841"/>
      </right>
      <top style="thick">
        <color rgb="FFD7C841"/>
      </top>
      <bottom style="thin">
        <color indexed="64"/>
      </bottom>
      <diagonal/>
    </border>
    <border>
      <left style="thick">
        <color rgb="FFD7C84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D7C84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rgb="FFD7C8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D7C841"/>
      </bottom>
      <diagonal/>
    </border>
    <border>
      <left style="thin">
        <color indexed="64"/>
      </left>
      <right style="thick">
        <color rgb="FFD7C841"/>
      </right>
      <top/>
      <bottom style="thick">
        <color rgb="FFD7C841"/>
      </bottom>
      <diagonal/>
    </border>
    <border>
      <left style="thick">
        <color rgb="FFD7C841"/>
      </left>
      <right style="thick">
        <color rgb="FFD7C841"/>
      </right>
      <top style="thick">
        <color rgb="FFD7C841"/>
      </top>
      <bottom style="thin">
        <color indexed="64"/>
      </bottom>
      <diagonal/>
    </border>
    <border>
      <left style="thick">
        <color rgb="FFD7C841"/>
      </left>
      <right style="thick">
        <color rgb="FFD7C841"/>
      </right>
      <top/>
      <bottom style="thin">
        <color indexed="64"/>
      </bottom>
      <diagonal/>
    </border>
    <border>
      <left style="thick">
        <color rgb="FFD7C841"/>
      </left>
      <right style="thick">
        <color rgb="FFD7C841"/>
      </right>
      <top/>
      <bottom style="thick">
        <color rgb="FFD7C841"/>
      </bottom>
      <diagonal/>
    </border>
    <border>
      <left style="medium">
        <color rgb="FFD7C841"/>
      </left>
      <right style="medium">
        <color rgb="FFD7C841"/>
      </right>
      <top style="medium">
        <color rgb="FFD7C841"/>
      </top>
      <bottom style="thin">
        <color indexed="64"/>
      </bottom>
      <diagonal/>
    </border>
    <border>
      <left style="medium">
        <color rgb="FFD7C841"/>
      </left>
      <right style="medium">
        <color rgb="FFD7C841"/>
      </right>
      <top/>
      <bottom style="thin">
        <color indexed="64"/>
      </bottom>
      <diagonal/>
    </border>
    <border>
      <left style="medium">
        <color rgb="FFD7C841"/>
      </left>
      <right style="thin">
        <color indexed="64"/>
      </right>
      <top style="medium">
        <color rgb="FFD7C84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D7C841"/>
      </top>
      <bottom style="thin">
        <color indexed="64"/>
      </bottom>
      <diagonal/>
    </border>
    <border>
      <left style="thin">
        <color indexed="64"/>
      </left>
      <right style="medium">
        <color rgb="FFD7C841"/>
      </right>
      <top style="medium">
        <color rgb="FFD7C841"/>
      </top>
      <bottom style="thin">
        <color indexed="64"/>
      </bottom>
      <diagonal/>
    </border>
    <border>
      <left style="medium">
        <color rgb="FFD7C84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D7C841"/>
      </right>
      <top/>
      <bottom style="thin">
        <color indexed="64"/>
      </bottom>
      <diagonal/>
    </border>
    <border>
      <left style="thick">
        <color rgb="FF44546A"/>
      </left>
      <right style="thin">
        <color indexed="64"/>
      </right>
      <top style="thick">
        <color rgb="FF44546A"/>
      </top>
      <bottom style="thick">
        <color rgb="FF44546A"/>
      </bottom>
      <diagonal/>
    </border>
    <border>
      <left style="thin">
        <color indexed="64"/>
      </left>
      <right style="thick">
        <color rgb="FF44546A"/>
      </right>
      <top style="thick">
        <color rgb="FF44546A"/>
      </top>
      <bottom style="thick">
        <color rgb="FF44546A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medium">
        <color rgb="FF2BB9CA"/>
      </left>
      <right/>
      <top style="medium">
        <color rgb="FF2BB9CA"/>
      </top>
      <bottom/>
      <diagonal/>
    </border>
    <border>
      <left/>
      <right/>
      <top style="medium">
        <color rgb="FF2BB9CA"/>
      </top>
      <bottom/>
      <diagonal/>
    </border>
    <border>
      <left/>
      <right style="medium">
        <color rgb="FF2BB9CA"/>
      </right>
      <top style="medium">
        <color rgb="FF2BB9CA"/>
      </top>
      <bottom/>
      <diagonal/>
    </border>
    <border>
      <left style="medium">
        <color rgb="FF2BB9CA"/>
      </left>
      <right/>
      <top/>
      <bottom/>
      <diagonal/>
    </border>
    <border>
      <left/>
      <right style="medium">
        <color rgb="FF2BB9CA"/>
      </right>
      <top/>
      <bottom/>
      <diagonal/>
    </border>
    <border>
      <left style="medium">
        <color rgb="FF2BB9CA"/>
      </left>
      <right/>
      <top/>
      <bottom style="medium">
        <color rgb="FF2BB9CA"/>
      </bottom>
      <diagonal/>
    </border>
    <border>
      <left/>
      <right/>
      <top/>
      <bottom style="medium">
        <color rgb="FF2BB9CA"/>
      </bottom>
      <diagonal/>
    </border>
    <border>
      <left/>
      <right style="medium">
        <color rgb="FF2BB9CA"/>
      </right>
      <top/>
      <bottom style="medium">
        <color rgb="FF2BB9CA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27">
    <xf numFmtId="0" fontId="0" fillId="0" borderId="0" xfId="0"/>
    <xf numFmtId="0" fontId="3" fillId="2" borderId="0" xfId="1" applyFont="1" applyFill="1"/>
    <xf numFmtId="0" fontId="3" fillId="2" borderId="4" xfId="1" applyFont="1" applyFill="1" applyBorder="1"/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/>
    <xf numFmtId="0" fontId="7" fillId="3" borderId="7" xfId="1" applyFont="1" applyFill="1" applyBorder="1" applyAlignment="1">
      <alignment horizontal="left"/>
    </xf>
    <xf numFmtId="0" fontId="7" fillId="3" borderId="7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165" fontId="6" fillId="2" borderId="7" xfId="2" applyNumberFormat="1" applyFont="1" applyFill="1" applyBorder="1"/>
    <xf numFmtId="165" fontId="8" fillId="2" borderId="5" xfId="2" applyNumberFormat="1" applyFont="1" applyFill="1" applyBorder="1"/>
    <xf numFmtId="165" fontId="7" fillId="3" borderId="7" xfId="1" applyNumberFormat="1" applyFont="1" applyFill="1" applyBorder="1"/>
    <xf numFmtId="0" fontId="6" fillId="0" borderId="7" xfId="1" applyFont="1" applyBorder="1" applyAlignment="1">
      <alignment horizontal="left"/>
    </xf>
    <xf numFmtId="165" fontId="6" fillId="0" borderId="7" xfId="2" applyNumberFormat="1" applyFont="1" applyFill="1" applyBorder="1" applyAlignment="1">
      <alignment horizontal="center"/>
    </xf>
    <xf numFmtId="0" fontId="6" fillId="0" borderId="7" xfId="1" applyFont="1" applyBorder="1" applyAlignment="1">
      <alignment horizontal="center"/>
    </xf>
    <xf numFmtId="165" fontId="6" fillId="0" borderId="7" xfId="2" applyNumberFormat="1" applyFont="1" applyFill="1" applyBorder="1"/>
    <xf numFmtId="0" fontId="0" fillId="0" borderId="0" xfId="0" applyAlignment="1">
      <alignment horizontal="center"/>
    </xf>
    <xf numFmtId="0" fontId="5" fillId="2" borderId="0" xfId="1" applyFont="1" applyFill="1" applyAlignment="1">
      <alignment horizontal="right"/>
    </xf>
    <xf numFmtId="0" fontId="0" fillId="2" borderId="7" xfId="0" applyFill="1" applyBorder="1"/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 applyAlignment="1">
      <alignment horizontal="center"/>
    </xf>
    <xf numFmtId="165" fontId="3" fillId="2" borderId="0" xfId="1" applyNumberFormat="1" applyFont="1" applyFill="1"/>
    <xf numFmtId="0" fontId="3" fillId="2" borderId="11" xfId="1" applyFont="1" applyFill="1" applyBorder="1"/>
    <xf numFmtId="0" fontId="3" fillId="2" borderId="7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18" fillId="7" borderId="7" xfId="1" applyFont="1" applyFill="1" applyBorder="1" applyAlignment="1">
      <alignment horizontal="center" vertical="center"/>
    </xf>
    <xf numFmtId="0" fontId="18" fillId="7" borderId="7" xfId="1" applyFont="1" applyFill="1" applyBorder="1" applyAlignment="1">
      <alignment horizontal="center" vertical="center" wrapText="1"/>
    </xf>
    <xf numFmtId="166" fontId="17" fillId="0" borderId="11" xfId="0" applyNumberFormat="1" applyFont="1" applyBorder="1" applyAlignment="1">
      <alignment horizontal="center" vertical="center" wrapText="1"/>
    </xf>
    <xf numFmtId="0" fontId="3" fillId="6" borderId="7" xfId="1" applyFont="1" applyFill="1" applyBorder="1" applyAlignment="1">
      <alignment horizontal="center"/>
    </xf>
    <xf numFmtId="166" fontId="17" fillId="6" borderId="11" xfId="0" applyNumberFormat="1" applyFont="1" applyFill="1" applyBorder="1" applyAlignment="1">
      <alignment horizontal="center" vertical="center" wrapText="1"/>
    </xf>
    <xf numFmtId="0" fontId="3" fillId="6" borderId="11" xfId="1" applyFont="1" applyFill="1" applyBorder="1" applyAlignment="1">
      <alignment horizontal="center"/>
    </xf>
    <xf numFmtId="0" fontId="3" fillId="6" borderId="11" xfId="1" applyFont="1" applyFill="1" applyBorder="1"/>
    <xf numFmtId="0" fontId="18" fillId="7" borderId="9" xfId="1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7" borderId="8" xfId="1" applyFont="1" applyFill="1" applyBorder="1" applyAlignment="1">
      <alignment horizontal="center" vertical="center" wrapText="1"/>
    </xf>
    <xf numFmtId="166" fontId="17" fillId="6" borderId="12" xfId="0" applyNumberFormat="1" applyFont="1" applyFill="1" applyBorder="1" applyAlignment="1">
      <alignment horizontal="center" vertical="center" wrapText="1"/>
    </xf>
    <xf numFmtId="0" fontId="18" fillId="7" borderId="13" xfId="1" applyFont="1" applyFill="1" applyBorder="1" applyAlignment="1">
      <alignment horizontal="center" vertical="center" wrapText="1"/>
    </xf>
    <xf numFmtId="0" fontId="18" fillId="7" borderId="14" xfId="1" applyFont="1" applyFill="1" applyBorder="1" applyAlignment="1">
      <alignment horizontal="center" vertical="center" wrapText="1"/>
    </xf>
    <xf numFmtId="0" fontId="18" fillId="7" borderId="15" xfId="1" applyFont="1" applyFill="1" applyBorder="1" applyAlignment="1">
      <alignment horizontal="center" vertical="center" wrapText="1"/>
    </xf>
    <xf numFmtId="166" fontId="17" fillId="6" borderId="16" xfId="0" applyNumberFormat="1" applyFont="1" applyFill="1" applyBorder="1" applyAlignment="1">
      <alignment horizontal="center" vertical="center" wrapText="1"/>
    </xf>
    <xf numFmtId="166" fontId="17" fillId="6" borderId="17" xfId="0" applyNumberFormat="1" applyFont="1" applyFill="1" applyBorder="1" applyAlignment="1">
      <alignment horizontal="center" vertical="center" wrapText="1"/>
    </xf>
    <xf numFmtId="166" fontId="17" fillId="0" borderId="16" xfId="0" applyNumberFormat="1" applyFont="1" applyBorder="1" applyAlignment="1">
      <alignment horizontal="center" vertical="center" wrapText="1"/>
    </xf>
    <xf numFmtId="166" fontId="17" fillId="0" borderId="17" xfId="0" applyNumberFormat="1" applyFont="1" applyBorder="1" applyAlignment="1">
      <alignment horizontal="center" vertical="center" wrapText="1"/>
    </xf>
    <xf numFmtId="166" fontId="17" fillId="0" borderId="18" xfId="0" applyNumberFormat="1" applyFont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/>
    </xf>
    <xf numFmtId="166" fontId="17" fillId="0" borderId="20" xfId="0" applyNumberFormat="1" applyFont="1" applyBorder="1" applyAlignment="1">
      <alignment horizontal="center" vertical="center" wrapText="1"/>
    </xf>
    <xf numFmtId="0" fontId="18" fillId="7" borderId="9" xfId="1" applyFont="1" applyFill="1" applyBorder="1" applyAlignment="1">
      <alignment horizontal="center" vertical="center" wrapText="1"/>
    </xf>
    <xf numFmtId="166" fontId="17" fillId="6" borderId="10" xfId="0" applyNumberFormat="1" applyFont="1" applyFill="1" applyBorder="1" applyAlignment="1">
      <alignment horizontal="center" vertical="center" wrapText="1"/>
    </xf>
    <xf numFmtId="166" fontId="17" fillId="0" borderId="10" xfId="0" applyNumberFormat="1" applyFont="1" applyBorder="1" applyAlignment="1">
      <alignment horizontal="center" vertical="center" wrapText="1"/>
    </xf>
    <xf numFmtId="0" fontId="18" fillId="7" borderId="21" xfId="1" applyFont="1" applyFill="1" applyBorder="1" applyAlignment="1">
      <alignment horizontal="center" vertical="center" wrapText="1"/>
    </xf>
    <xf numFmtId="166" fontId="17" fillId="6" borderId="22" xfId="0" applyNumberFormat="1" applyFont="1" applyFill="1" applyBorder="1" applyAlignment="1">
      <alignment horizontal="center" vertical="center" wrapText="1"/>
    </xf>
    <xf numFmtId="166" fontId="17" fillId="0" borderId="22" xfId="0" applyNumberFormat="1" applyFont="1" applyBorder="1" applyAlignment="1">
      <alignment horizontal="center" vertical="center" wrapText="1"/>
    </xf>
    <xf numFmtId="166" fontId="17" fillId="0" borderId="23" xfId="0" applyNumberFormat="1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166" fontId="17" fillId="2" borderId="12" xfId="0" applyNumberFormat="1" applyFont="1" applyFill="1" applyBorder="1" applyAlignment="1">
      <alignment horizontal="center" vertical="center" wrapText="1"/>
    </xf>
    <xf numFmtId="0" fontId="18" fillId="7" borderId="24" xfId="1" applyFont="1" applyFill="1" applyBorder="1" applyAlignment="1">
      <alignment horizontal="center" vertical="center" wrapText="1"/>
    </xf>
    <xf numFmtId="166" fontId="17" fillId="6" borderId="25" xfId="0" applyNumberFormat="1" applyFont="1" applyFill="1" applyBorder="1" applyAlignment="1">
      <alignment horizontal="center" vertical="center" wrapText="1"/>
    </xf>
    <xf numFmtId="166" fontId="17" fillId="0" borderId="25" xfId="0" applyNumberFormat="1" applyFont="1" applyBorder="1" applyAlignment="1">
      <alignment horizontal="center" vertical="center" wrapText="1"/>
    </xf>
    <xf numFmtId="166" fontId="17" fillId="2" borderId="16" xfId="0" applyNumberFormat="1" applyFont="1" applyFill="1" applyBorder="1" applyAlignment="1">
      <alignment horizontal="center" vertical="center" wrapText="1"/>
    </xf>
    <xf numFmtId="0" fontId="18" fillId="7" borderId="26" xfId="1" applyFont="1" applyFill="1" applyBorder="1" applyAlignment="1">
      <alignment horizontal="center" vertical="center" wrapText="1"/>
    </xf>
    <xf numFmtId="0" fontId="18" fillId="7" borderId="27" xfId="1" applyFont="1" applyFill="1" applyBorder="1" applyAlignment="1">
      <alignment horizontal="center" vertical="center" wrapText="1"/>
    </xf>
    <xf numFmtId="0" fontId="18" fillId="7" borderId="28" xfId="1" applyFont="1" applyFill="1" applyBorder="1" applyAlignment="1">
      <alignment horizontal="center" vertical="center" wrapText="1"/>
    </xf>
    <xf numFmtId="166" fontId="17" fillId="6" borderId="29" xfId="0" applyNumberFormat="1" applyFont="1" applyFill="1" applyBorder="1" applyAlignment="1">
      <alignment horizontal="center" vertical="center" wrapText="1"/>
    </xf>
    <xf numFmtId="166" fontId="17" fillId="6" borderId="30" xfId="0" applyNumberFormat="1" applyFont="1" applyFill="1" applyBorder="1" applyAlignment="1">
      <alignment horizontal="center" vertical="center" wrapText="1"/>
    </xf>
    <xf numFmtId="166" fontId="17" fillId="2" borderId="29" xfId="0" applyNumberFormat="1" applyFont="1" applyFill="1" applyBorder="1" applyAlignment="1">
      <alignment horizontal="center" vertical="center" wrapText="1"/>
    </xf>
    <xf numFmtId="166" fontId="17" fillId="0" borderId="30" xfId="0" applyNumberFormat="1" applyFont="1" applyBorder="1" applyAlignment="1">
      <alignment horizontal="center" vertical="center" wrapText="1"/>
    </xf>
    <xf numFmtId="0" fontId="5" fillId="2" borderId="0" xfId="1" applyFont="1" applyFill="1"/>
    <xf numFmtId="0" fontId="6" fillId="2" borderId="7" xfId="2" applyNumberFormat="1" applyFont="1" applyFill="1" applyBorder="1" applyAlignment="1">
      <alignment horizontal="center"/>
    </xf>
    <xf numFmtId="166" fontId="6" fillId="0" borderId="7" xfId="1" applyNumberFormat="1" applyFont="1" applyBorder="1" applyAlignment="1">
      <alignment horizontal="right"/>
    </xf>
    <xf numFmtId="165" fontId="7" fillId="3" borderId="31" xfId="1" applyNumberFormat="1" applyFont="1" applyFill="1" applyBorder="1"/>
    <xf numFmtId="165" fontId="7" fillId="3" borderId="32" xfId="1" applyNumberFormat="1" applyFont="1" applyFill="1" applyBorder="1"/>
    <xf numFmtId="165" fontId="3" fillId="0" borderId="0" xfId="1" applyNumberFormat="1" applyFont="1"/>
    <xf numFmtId="0" fontId="10" fillId="5" borderId="33" xfId="0" applyFont="1" applyFill="1" applyBorder="1" applyAlignment="1">
      <alignment horizontal="center"/>
    </xf>
    <xf numFmtId="0" fontId="14" fillId="5" borderId="33" xfId="0" applyFont="1" applyFill="1" applyBorder="1"/>
    <xf numFmtId="0" fontId="0" fillId="5" borderId="33" xfId="0" applyFill="1" applyBorder="1"/>
    <xf numFmtId="0" fontId="0" fillId="0" borderId="33" xfId="0" applyBorder="1" applyAlignment="1">
      <alignment horizontal="center"/>
    </xf>
    <xf numFmtId="0" fontId="15" fillId="0" borderId="33" xfId="0" applyFont="1" applyBorder="1"/>
    <xf numFmtId="0" fontId="0" fillId="0" borderId="33" xfId="0" applyBorder="1"/>
    <xf numFmtId="0" fontId="11" fillId="8" borderId="33" xfId="0" applyFont="1" applyFill="1" applyBorder="1" applyAlignment="1">
      <alignment horizontal="center"/>
    </xf>
    <xf numFmtId="0" fontId="11" fillId="9" borderId="33" xfId="0" applyFont="1" applyFill="1" applyBorder="1" applyAlignment="1">
      <alignment horizontal="center"/>
    </xf>
    <xf numFmtId="0" fontId="12" fillId="9" borderId="33" xfId="0" applyFont="1" applyFill="1" applyBorder="1" applyAlignment="1">
      <alignment horizontal="center" vertical="center"/>
    </xf>
    <xf numFmtId="0" fontId="0" fillId="11" borderId="33" xfId="0" applyFill="1" applyBorder="1"/>
    <xf numFmtId="0" fontId="19" fillId="12" borderId="33" xfId="0" applyFont="1" applyFill="1" applyBorder="1"/>
    <xf numFmtId="0" fontId="3" fillId="2" borderId="40" xfId="1" applyFont="1" applyFill="1" applyBorder="1"/>
    <xf numFmtId="0" fontId="5" fillId="2" borderId="41" xfId="1" applyFont="1" applyFill="1" applyBorder="1"/>
    <xf numFmtId="0" fontId="3" fillId="2" borderId="41" xfId="1" applyFont="1" applyFill="1" applyBorder="1"/>
    <xf numFmtId="0" fontId="3" fillId="2" borderId="42" xfId="1" applyFont="1" applyFill="1" applyBorder="1"/>
    <xf numFmtId="0" fontId="3" fillId="2" borderId="43" xfId="1" applyFont="1" applyFill="1" applyBorder="1"/>
    <xf numFmtId="0" fontId="3" fillId="2" borderId="44" xfId="1" applyFont="1" applyFill="1" applyBorder="1"/>
    <xf numFmtId="0" fontId="0" fillId="2" borderId="33" xfId="0" applyFill="1" applyBorder="1"/>
    <xf numFmtId="165" fontId="7" fillId="3" borderId="7" xfId="1" applyNumberFormat="1" applyFont="1" applyFill="1" applyBorder="1" applyAlignment="1">
      <alignment horizontal="center"/>
    </xf>
    <xf numFmtId="9" fontId="7" fillId="3" borderId="7" xfId="1" applyNumberFormat="1" applyFont="1" applyFill="1" applyBorder="1" applyAlignment="1">
      <alignment horizontal="center"/>
    </xf>
    <xf numFmtId="9" fontId="7" fillId="3" borderId="9" xfId="1" applyNumberFormat="1" applyFont="1" applyFill="1" applyBorder="1"/>
    <xf numFmtId="9" fontId="7" fillId="3" borderId="8" xfId="1" applyNumberFormat="1" applyFont="1" applyFill="1" applyBorder="1"/>
    <xf numFmtId="0" fontId="6" fillId="2" borderId="0" xfId="1" applyFont="1" applyFill="1" applyAlignment="1">
      <alignment horizontal="center"/>
    </xf>
    <xf numFmtId="0" fontId="6" fillId="2" borderId="0" xfId="1" applyFont="1" applyFill="1"/>
    <xf numFmtId="0" fontId="16" fillId="4" borderId="0" xfId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165" fontId="7" fillId="2" borderId="0" xfId="1" applyNumberFormat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3" fillId="2" borderId="45" xfId="1" applyFont="1" applyFill="1" applyBorder="1"/>
    <xf numFmtId="0" fontId="3" fillId="2" borderId="46" xfId="1" applyFont="1" applyFill="1" applyBorder="1"/>
    <xf numFmtId="0" fontId="3" fillId="2" borderId="47" xfId="1" applyFont="1" applyFill="1" applyBorder="1"/>
    <xf numFmtId="0" fontId="5" fillId="2" borderId="6" xfId="1" applyFont="1" applyFill="1" applyBorder="1" applyAlignment="1">
      <alignment horizontal="left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4" fillId="11" borderId="1" xfId="1" applyFont="1" applyFill="1" applyBorder="1" applyAlignment="1">
      <alignment horizontal="center"/>
    </xf>
    <xf numFmtId="0" fontId="4" fillId="11" borderId="2" xfId="1" applyFont="1" applyFill="1" applyBorder="1" applyAlignment="1">
      <alignment horizontal="center"/>
    </xf>
    <xf numFmtId="0" fontId="4" fillId="11" borderId="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left"/>
    </xf>
    <xf numFmtId="0" fontId="2" fillId="4" borderId="37" xfId="1" applyFont="1" applyFill="1" applyBorder="1" applyAlignment="1">
      <alignment horizontal="center" vertical="center"/>
    </xf>
    <xf numFmtId="0" fontId="2" fillId="4" borderId="38" xfId="1" applyFont="1" applyFill="1" applyBorder="1" applyAlignment="1">
      <alignment horizontal="center" vertical="center"/>
    </xf>
    <xf numFmtId="0" fontId="2" fillId="4" borderId="39" xfId="1" applyFont="1" applyFill="1" applyBorder="1" applyAlignment="1">
      <alignment horizontal="center" vertical="center"/>
    </xf>
    <xf numFmtId="0" fontId="4" fillId="10" borderId="40" xfId="1" applyFont="1" applyFill="1" applyBorder="1" applyAlignment="1">
      <alignment horizontal="center" vertical="center"/>
    </xf>
    <xf numFmtId="0" fontId="4" fillId="10" borderId="0" xfId="1" applyFont="1" applyFill="1" applyAlignment="1">
      <alignment horizontal="center" vertical="center"/>
    </xf>
    <xf numFmtId="0" fontId="4" fillId="10" borderId="41" xfId="1" applyFont="1" applyFill="1" applyBorder="1" applyAlignment="1">
      <alignment horizontal="center" vertical="center"/>
    </xf>
    <xf numFmtId="0" fontId="11" fillId="8" borderId="34" xfId="0" applyFont="1" applyFill="1" applyBorder="1" applyAlignment="1">
      <alignment horizontal="center"/>
    </xf>
    <xf numFmtId="0" fontId="11" fillId="8" borderId="35" xfId="0" applyFont="1" applyFill="1" applyBorder="1" applyAlignment="1">
      <alignment horizontal="center"/>
    </xf>
    <xf numFmtId="0" fontId="11" fillId="8" borderId="36" xfId="0" applyFont="1" applyFill="1" applyBorder="1" applyAlignment="1">
      <alignment horizontal="center"/>
    </xf>
    <xf numFmtId="0" fontId="13" fillId="8" borderId="33" xfId="0" applyFont="1" applyFill="1" applyBorder="1" applyAlignment="1">
      <alignment horizontal="center" vertical="center"/>
    </xf>
    <xf numFmtId="0" fontId="12" fillId="8" borderId="33" xfId="0" applyFont="1" applyFill="1" applyBorder="1" applyAlignment="1">
      <alignment horizontal="center" vertical="center" wrapText="1"/>
    </xf>
    <xf numFmtId="0" fontId="12" fillId="8" borderId="33" xfId="0" applyFont="1" applyFill="1" applyBorder="1" applyAlignment="1">
      <alignment horizontal="center" vertical="center"/>
    </xf>
    <xf numFmtId="0" fontId="13" fillId="8" borderId="48" xfId="0" applyFont="1" applyFill="1" applyBorder="1" applyAlignment="1">
      <alignment horizontal="center" vertical="center"/>
    </xf>
    <xf numFmtId="0" fontId="13" fillId="8" borderId="49" xfId="0" applyFont="1" applyFill="1" applyBorder="1" applyAlignment="1">
      <alignment horizontal="center" vertical="center"/>
    </xf>
  </cellXfs>
  <cellStyles count="3">
    <cellStyle name="Moneda 3 2" xfId="2" xr:uid="{00000000-0005-0000-0000-000001000000}"/>
    <cellStyle name="Normal" xfId="0" builtinId="0"/>
    <cellStyle name="Normal 2" xfId="1" xr:uid="{00000000-0005-0000-0000-000003000000}"/>
  </cellStyles>
  <dxfs count="3">
    <dxf>
      <border>
        <left style="thin">
          <color rgb="FFD7C841"/>
        </left>
        <right style="thin">
          <color rgb="FFD7C841"/>
        </right>
        <top style="thin">
          <color rgb="FFD7C841"/>
        </top>
        <bottom style="thin">
          <color rgb="FFD7C841"/>
        </bottom>
        <vertical style="thin">
          <color rgb="FFD7C841"/>
        </vertical>
        <horizontal style="thin">
          <color rgb="FFD7C841"/>
        </horizontal>
      </border>
    </dxf>
    <dxf>
      <fill>
        <patternFill>
          <bgColor theme="0" tint="-4.9989318521683403E-2"/>
        </patternFill>
      </fill>
      <border>
        <left style="thin">
          <color rgb="FFD7C841"/>
        </left>
        <right style="thin">
          <color rgb="FFD7C841"/>
        </right>
        <top style="thin">
          <color rgb="FFD7C841"/>
        </top>
        <bottom style="thin">
          <color rgb="FFD7C841"/>
        </bottom>
        <vertical style="thin">
          <color rgb="FFD7C841"/>
        </vertical>
        <horizontal style="thin">
          <color rgb="FFD7C841"/>
        </horizontal>
      </border>
    </dxf>
    <dxf>
      <font>
        <color theme="0"/>
      </font>
      <fill>
        <patternFill>
          <bgColor theme="3"/>
        </patternFill>
      </fill>
      <border>
        <left style="thin">
          <color rgb="FFD7C841"/>
        </left>
        <right style="thin">
          <color rgb="FFD7C841"/>
        </right>
        <top style="thin">
          <color rgb="FFD7C841"/>
        </top>
        <bottom style="thin">
          <color rgb="FFD7C841"/>
        </bottom>
        <vertical style="thin">
          <color rgb="FFD7C841"/>
        </vertical>
        <horizontal style="thin">
          <color rgb="FFD7C841"/>
        </horizontal>
      </border>
    </dxf>
  </dxfs>
  <tableStyles count="1" defaultTableStyle="TableStyleMedium2" defaultPivotStyle="PivotStyleLight16">
    <tableStyle name="Estilo de tabla 1" pivot="0" count="3" xr9:uid="{D630C490-6FAC-4CD0-990C-8F1FE8484EF8}">
      <tableStyleElement type="headerRow" dxfId="2"/>
      <tableStyleElement type="firstRowStripe" dxfId="1"/>
      <tableStyleElement type="secondRowStripe" dxfId="0"/>
    </tableStyle>
  </tableStyles>
  <colors>
    <mruColors>
      <color rgb="FF2BB9CA"/>
      <color rgb="FF5EA0B0"/>
      <color rgb="FF0884BC"/>
      <color rgb="FF000000"/>
      <color rgb="FF4F728E"/>
      <color rgb="FFFCE4D6"/>
      <color rgb="FF3D5E83"/>
      <color rgb="FF083D67"/>
      <color rgb="FFD7C841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FCAE-3A14-42E1-8D85-0179E945015A}">
  <dimension ref="B4:J13"/>
  <sheetViews>
    <sheetView topLeftCell="B1" zoomScale="91" zoomScaleNormal="91" workbookViewId="0">
      <selection activeCell="D13" sqref="D13"/>
    </sheetView>
  </sheetViews>
  <sheetFormatPr baseColWidth="10" defaultColWidth="14.42578125" defaultRowHeight="12.75" x14ac:dyDescent="0.2"/>
  <cols>
    <col min="1" max="1" width="2.140625" style="1" customWidth="1"/>
    <col min="2" max="2" width="2" style="1" customWidth="1"/>
    <col min="3" max="3" width="3.85546875" style="1" customWidth="1"/>
    <col min="4" max="4" width="66.85546875" style="1" customWidth="1"/>
    <col min="5" max="5" width="19.28515625" style="1" customWidth="1"/>
    <col min="6" max="6" width="10.42578125" style="1" customWidth="1"/>
    <col min="7" max="7" width="17.28515625" style="1" customWidth="1"/>
    <col min="8" max="8" width="1.28515625" style="1" customWidth="1"/>
    <col min="9" max="11" width="14.42578125" style="1"/>
    <col min="12" max="12" width="36.28515625" style="1" customWidth="1"/>
    <col min="13" max="16384" width="14.42578125" style="1"/>
  </cols>
  <sheetData>
    <row r="4" spans="2:10" ht="15.75" x14ac:dyDescent="0.2">
      <c r="B4" s="113" t="s">
        <v>0</v>
      </c>
      <c r="C4" s="114"/>
      <c r="D4" s="114"/>
      <c r="E4" s="114"/>
      <c r="F4" s="114"/>
      <c r="G4" s="114"/>
      <c r="H4" s="115"/>
    </row>
    <row r="5" spans="2:10" x14ac:dyDescent="0.2">
      <c r="B5" s="116" t="s">
        <v>97</v>
      </c>
      <c r="C5" s="117"/>
      <c r="D5" s="117"/>
      <c r="E5" s="117"/>
      <c r="F5" s="117"/>
      <c r="G5" s="117"/>
      <c r="H5" s="118"/>
    </row>
    <row r="6" spans="2:10" x14ac:dyDescent="0.2">
      <c r="B6" s="116"/>
      <c r="C6" s="117"/>
      <c r="D6" s="117"/>
      <c r="E6" s="117"/>
      <c r="F6" s="117"/>
      <c r="G6" s="117"/>
      <c r="H6" s="118"/>
    </row>
    <row r="7" spans="2:10" x14ac:dyDescent="0.2">
      <c r="B7" s="85"/>
      <c r="D7" s="68"/>
      <c r="E7" s="68"/>
      <c r="F7" s="68"/>
      <c r="G7" s="68"/>
      <c r="H7" s="86"/>
    </row>
    <row r="8" spans="2:10" ht="13.5" x14ac:dyDescent="0.25">
      <c r="B8" s="85"/>
      <c r="C8" s="5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87"/>
    </row>
    <row r="9" spans="2:10" ht="13.5" x14ac:dyDescent="0.25">
      <c r="B9" s="85"/>
      <c r="C9" s="7" t="s">
        <v>6</v>
      </c>
      <c r="D9" s="11"/>
      <c r="E9" s="70"/>
      <c r="F9" s="69">
        <v>1</v>
      </c>
      <c r="G9" s="8">
        <f>+F9*E9</f>
        <v>0</v>
      </c>
      <c r="H9" s="87"/>
      <c r="I9" s="1">
        <f>+G9*35%</f>
        <v>0</v>
      </c>
      <c r="J9" s="21">
        <f>+G9-I9</f>
        <v>0</v>
      </c>
    </row>
    <row r="10" spans="2:10" ht="13.5" x14ac:dyDescent="0.25">
      <c r="B10" s="85"/>
      <c r="C10" s="7" t="s">
        <v>7</v>
      </c>
      <c r="D10" s="11"/>
      <c r="E10" s="70"/>
      <c r="F10" s="69">
        <v>1</v>
      </c>
      <c r="G10" s="8">
        <f>+F10*E10</f>
        <v>0</v>
      </c>
      <c r="H10" s="87"/>
    </row>
    <row r="11" spans="2:10" ht="14.25" thickBot="1" x14ac:dyDescent="0.3">
      <c r="B11" s="85"/>
      <c r="C11" s="7" t="s">
        <v>8</v>
      </c>
      <c r="D11" s="11"/>
      <c r="E11" s="70"/>
      <c r="F11" s="69">
        <v>1</v>
      </c>
      <c r="G11" s="8">
        <f>+F11*E11</f>
        <v>0</v>
      </c>
      <c r="H11" s="87"/>
    </row>
    <row r="12" spans="2:10" ht="15" thickTop="1" thickBot="1" x14ac:dyDescent="0.3">
      <c r="B12" s="85"/>
      <c r="D12" s="16" t="s">
        <v>5</v>
      </c>
      <c r="E12" s="16"/>
      <c r="F12" s="71"/>
      <c r="G12" s="72">
        <f>SUM(G9:G11)</f>
        <v>0</v>
      </c>
      <c r="H12" s="87"/>
    </row>
    <row r="13" spans="2:10" ht="14.25" thickTop="1" thickBot="1" x14ac:dyDescent="0.25">
      <c r="B13" s="88"/>
      <c r="C13" s="89"/>
      <c r="D13" s="89"/>
      <c r="E13" s="89"/>
      <c r="F13" s="89"/>
      <c r="G13" s="89"/>
      <c r="H13" s="90"/>
    </row>
  </sheetData>
  <mergeCells count="2">
    <mergeCell ref="B4:H4"/>
    <mergeCell ref="B5:H6"/>
  </mergeCells>
  <phoneticPr fontId="9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EE84-D73B-449D-977A-BEA6C6BE5CFB}">
  <sheetPr>
    <pageSetUpPr fitToPage="1"/>
  </sheetPr>
  <dimension ref="B1:BQ40"/>
  <sheetViews>
    <sheetView topLeftCell="B1" zoomScale="125" zoomScaleNormal="180" workbookViewId="0">
      <selection activeCell="M9" sqref="M9"/>
    </sheetView>
  </sheetViews>
  <sheetFormatPr baseColWidth="10" defaultColWidth="14.42578125" defaultRowHeight="12.75" x14ac:dyDescent="0.2"/>
  <cols>
    <col min="1" max="1" width="2.140625" style="1" customWidth="1"/>
    <col min="2" max="2" width="2" style="1" customWidth="1"/>
    <col min="3" max="3" width="5.5703125" style="1" customWidth="1"/>
    <col min="4" max="4" width="29.28515625" style="1" customWidth="1"/>
    <col min="5" max="5" width="11.85546875" style="1" customWidth="1"/>
    <col min="6" max="6" width="8.7109375" style="1" customWidth="1"/>
    <col min="7" max="7" width="9" style="1" customWidth="1"/>
    <col min="8" max="8" width="11.85546875" style="1" bestFit="1" customWidth="1"/>
    <col min="9" max="9" width="15.42578125" style="1" customWidth="1"/>
    <col min="10" max="10" width="14.42578125" style="1" bestFit="1" customWidth="1"/>
    <col min="11" max="11" width="5" style="1" customWidth="1"/>
    <col min="12" max="40" width="14.42578125" style="1"/>
    <col min="41" max="41" width="7" style="24" bestFit="1" customWidth="1"/>
    <col min="42" max="42" width="10" style="1" bestFit="1" customWidth="1"/>
    <col min="43" max="43" width="14.42578125" style="1"/>
    <col min="44" max="44" width="12.42578125" style="1" customWidth="1"/>
    <col min="45" max="45" width="14.85546875" style="1" customWidth="1"/>
    <col min="46" max="47" width="14.42578125" style="1"/>
    <col min="48" max="49" width="17.85546875" style="1" customWidth="1"/>
    <col min="50" max="50" width="14.42578125" style="1"/>
    <col min="51" max="51" width="7" style="1" bestFit="1" customWidth="1"/>
    <col min="52" max="52" width="10" style="1" customWidth="1"/>
    <col min="53" max="53" width="14" style="1" customWidth="1"/>
    <col min="54" max="54" width="14.140625" style="1" bestFit="1" customWidth="1"/>
    <col min="55" max="56" width="13.7109375" style="1" customWidth="1"/>
    <col min="57" max="16384" width="14.42578125" style="1"/>
  </cols>
  <sheetData>
    <row r="1" spans="2:69" ht="36" customHeight="1" thickTop="1" thickBot="1" x14ac:dyDescent="0.25">
      <c r="B1" s="106"/>
      <c r="C1" s="107"/>
      <c r="D1" s="107"/>
      <c r="E1" s="107"/>
      <c r="F1" s="107"/>
      <c r="G1" s="107"/>
      <c r="H1" s="107"/>
      <c r="I1" s="107"/>
      <c r="J1" s="107"/>
      <c r="K1" s="108"/>
      <c r="AO1" s="25" t="s">
        <v>13</v>
      </c>
      <c r="AP1" s="32" t="s">
        <v>14</v>
      </c>
      <c r="AQ1" s="38" t="s">
        <v>15</v>
      </c>
      <c r="AR1" s="39" t="s">
        <v>16</v>
      </c>
      <c r="AS1" s="39" t="s">
        <v>17</v>
      </c>
      <c r="AT1" s="40" t="s">
        <v>18</v>
      </c>
      <c r="AU1" s="36" t="s">
        <v>19</v>
      </c>
      <c r="AV1" s="48" t="s">
        <v>20</v>
      </c>
      <c r="AW1" s="51" t="s">
        <v>21</v>
      </c>
      <c r="AY1" s="25" t="s">
        <v>13</v>
      </c>
      <c r="AZ1" s="32" t="s">
        <v>14</v>
      </c>
      <c r="BA1" s="61" t="s">
        <v>15</v>
      </c>
      <c r="BB1" s="62" t="s">
        <v>16</v>
      </c>
      <c r="BC1" s="62" t="s">
        <v>22</v>
      </c>
      <c r="BD1" s="63" t="s">
        <v>23</v>
      </c>
      <c r="BE1" s="36" t="s">
        <v>19</v>
      </c>
      <c r="BF1" s="48" t="s">
        <v>20</v>
      </c>
      <c r="BG1" s="57" t="s">
        <v>24</v>
      </c>
      <c r="BI1" s="25" t="s">
        <v>13</v>
      </c>
      <c r="BJ1" s="32" t="s">
        <v>14</v>
      </c>
      <c r="BK1" s="38" t="s">
        <v>15</v>
      </c>
      <c r="BL1" s="39" t="s">
        <v>16</v>
      </c>
      <c r="BM1" s="39" t="s">
        <v>22</v>
      </c>
      <c r="BN1" s="40" t="s">
        <v>23</v>
      </c>
      <c r="BO1" s="36" t="s">
        <v>19</v>
      </c>
      <c r="BP1" s="26" t="s">
        <v>20</v>
      </c>
      <c r="BQ1" s="26" t="s">
        <v>24</v>
      </c>
    </row>
    <row r="2" spans="2:69" ht="13.5" thickBot="1" x14ac:dyDescent="0.25">
      <c r="B2" s="109" t="s">
        <v>117</v>
      </c>
      <c r="C2" s="110"/>
      <c r="D2" s="110"/>
      <c r="E2" s="110"/>
      <c r="F2" s="110"/>
      <c r="G2" s="110"/>
      <c r="H2" s="110"/>
      <c r="I2" s="110"/>
      <c r="J2" s="110"/>
      <c r="K2" s="111"/>
      <c r="AO2" s="28">
        <v>1</v>
      </c>
      <c r="AP2" s="33" t="s">
        <v>25</v>
      </c>
      <c r="AQ2" s="41">
        <v>972204</v>
      </c>
      <c r="AR2" s="29">
        <v>339109</v>
      </c>
      <c r="AS2" s="30" t="s">
        <v>26</v>
      </c>
      <c r="AT2" s="42">
        <v>345084</v>
      </c>
      <c r="AU2" s="37">
        <v>795384</v>
      </c>
      <c r="AV2" s="49">
        <v>464408</v>
      </c>
      <c r="AW2" s="52">
        <f>+AQ2+AR2+AT2</f>
        <v>1656397</v>
      </c>
      <c r="AY2" s="28">
        <v>2</v>
      </c>
      <c r="AZ2" s="33" t="s">
        <v>27</v>
      </c>
      <c r="BA2" s="64">
        <v>972204</v>
      </c>
      <c r="BB2" s="29">
        <v>339109</v>
      </c>
      <c r="BC2" s="31" t="s">
        <v>28</v>
      </c>
      <c r="BD2" s="65">
        <v>345084</v>
      </c>
      <c r="BE2" s="37">
        <v>795384</v>
      </c>
      <c r="BF2" s="49">
        <v>464408</v>
      </c>
      <c r="BG2" s="58">
        <f>+BA2+BB2+BD2</f>
        <v>1656397</v>
      </c>
      <c r="BI2" s="28">
        <v>2</v>
      </c>
      <c r="BJ2" s="33" t="s">
        <v>27</v>
      </c>
      <c r="BK2" s="41">
        <v>922145</v>
      </c>
      <c r="BL2" s="29">
        <v>339109</v>
      </c>
      <c r="BM2" s="31" t="s">
        <v>28</v>
      </c>
      <c r="BN2" s="42">
        <v>345084</v>
      </c>
      <c r="BO2" s="37">
        <v>795384</v>
      </c>
      <c r="BP2" s="29">
        <v>464408</v>
      </c>
      <c r="BQ2" s="29">
        <f>+BK2+BL2+BN2</f>
        <v>1606338</v>
      </c>
    </row>
    <row r="3" spans="2:69" ht="13.5" customHeight="1" x14ac:dyDescent="0.2">
      <c r="B3" s="18"/>
      <c r="C3" s="19"/>
      <c r="D3" s="112" t="s">
        <v>75</v>
      </c>
      <c r="E3" s="112"/>
      <c r="F3" s="112"/>
      <c r="G3" s="112"/>
      <c r="H3" s="112"/>
      <c r="I3" s="112"/>
      <c r="J3" s="112"/>
      <c r="K3" s="20"/>
      <c r="AO3" s="28">
        <v>1</v>
      </c>
      <c r="AP3" s="34" t="s">
        <v>29</v>
      </c>
      <c r="AQ3" s="41">
        <v>972204</v>
      </c>
      <c r="AR3" s="29">
        <v>339109</v>
      </c>
      <c r="AS3" s="28" t="s">
        <v>26</v>
      </c>
      <c r="AT3" s="42">
        <v>345084</v>
      </c>
      <c r="AU3" s="37">
        <v>795384</v>
      </c>
      <c r="AV3" s="49">
        <v>464408</v>
      </c>
      <c r="AW3" s="52">
        <f t="shared" ref="AW3:AW20" si="0">+AQ3+AR3+AT3</f>
        <v>1656397</v>
      </c>
      <c r="AY3" s="28">
        <v>2</v>
      </c>
      <c r="AZ3" s="33" t="s">
        <v>30</v>
      </c>
      <c r="BA3" s="64">
        <v>972204</v>
      </c>
      <c r="BB3" s="29">
        <v>339109</v>
      </c>
      <c r="BC3" s="31" t="s">
        <v>28</v>
      </c>
      <c r="BD3" s="65">
        <v>345084</v>
      </c>
      <c r="BE3" s="37">
        <v>795384</v>
      </c>
      <c r="BF3" s="49">
        <v>464408</v>
      </c>
      <c r="BG3" s="58">
        <f t="shared" ref="BG3:BG14" si="1">+BA3+BB3+BD3</f>
        <v>1656397</v>
      </c>
      <c r="BI3" s="28">
        <v>2</v>
      </c>
      <c r="BJ3" s="33" t="s">
        <v>30</v>
      </c>
      <c r="BK3" s="41">
        <v>922145</v>
      </c>
      <c r="BL3" s="29">
        <v>339109</v>
      </c>
      <c r="BM3" s="31" t="s">
        <v>28</v>
      </c>
      <c r="BN3" s="42">
        <v>345084</v>
      </c>
      <c r="BO3" s="37">
        <v>795384</v>
      </c>
      <c r="BP3" s="29">
        <v>464408</v>
      </c>
      <c r="BQ3" s="29">
        <f t="shared" ref="BQ3:BQ14" si="2">+BK3+BL3+BN3</f>
        <v>1606338</v>
      </c>
    </row>
    <row r="4" spans="2:69" ht="15" customHeight="1" x14ac:dyDescent="0.25">
      <c r="B4" s="2"/>
      <c r="D4" s="105" t="s">
        <v>76</v>
      </c>
      <c r="E4" s="105"/>
      <c r="F4" s="97"/>
      <c r="G4" s="97"/>
      <c r="H4" s="97"/>
      <c r="I4" s="97"/>
      <c r="J4" s="98" t="s">
        <v>31</v>
      </c>
      <c r="K4" s="4"/>
      <c r="AO4" s="23">
        <v>1</v>
      </c>
      <c r="AP4" s="35" t="s">
        <v>32</v>
      </c>
      <c r="AQ4" s="60">
        <v>972204</v>
      </c>
      <c r="AR4" s="27">
        <v>339109</v>
      </c>
      <c r="AS4" s="23" t="s">
        <v>26</v>
      </c>
      <c r="AT4" s="44">
        <v>345084</v>
      </c>
      <c r="AU4" s="56">
        <v>795384</v>
      </c>
      <c r="AV4" s="50">
        <v>464408</v>
      </c>
      <c r="AW4" s="53">
        <f t="shared" si="0"/>
        <v>1656397</v>
      </c>
      <c r="AY4" s="23">
        <v>2</v>
      </c>
      <c r="AZ4" s="55" t="s">
        <v>33</v>
      </c>
      <c r="BA4" s="66">
        <v>972204</v>
      </c>
      <c r="BB4" s="27">
        <v>339109</v>
      </c>
      <c r="BC4" s="22" t="s">
        <v>28</v>
      </c>
      <c r="BD4" s="67">
        <v>345084</v>
      </c>
      <c r="BE4" s="56">
        <v>795384</v>
      </c>
      <c r="BF4" s="50">
        <v>464408</v>
      </c>
      <c r="BG4" s="59">
        <f t="shared" si="1"/>
        <v>1656397</v>
      </c>
      <c r="BI4" s="23">
        <v>2</v>
      </c>
      <c r="BJ4" s="55" t="s">
        <v>33</v>
      </c>
      <c r="BK4" s="43">
        <v>922145</v>
      </c>
      <c r="BL4" s="27">
        <v>339109</v>
      </c>
      <c r="BM4" s="22" t="s">
        <v>28</v>
      </c>
      <c r="BN4" s="44">
        <v>345084</v>
      </c>
      <c r="BO4" s="56">
        <v>795384</v>
      </c>
      <c r="BP4" s="27">
        <v>464408</v>
      </c>
      <c r="BQ4" s="27">
        <f t="shared" si="2"/>
        <v>1606338</v>
      </c>
    </row>
    <row r="5" spans="2:69" ht="13.5" x14ac:dyDescent="0.25">
      <c r="B5" s="2"/>
      <c r="C5" s="5" t="s">
        <v>1</v>
      </c>
      <c r="D5" s="5" t="s">
        <v>2</v>
      </c>
      <c r="E5" s="6" t="s">
        <v>34</v>
      </c>
      <c r="F5" s="6" t="s">
        <v>4</v>
      </c>
      <c r="G5" s="6" t="s">
        <v>70</v>
      </c>
      <c r="H5" s="6" t="s">
        <v>74</v>
      </c>
      <c r="I5" s="6" t="s">
        <v>68</v>
      </c>
      <c r="J5" s="6" t="s">
        <v>5</v>
      </c>
      <c r="K5" s="3"/>
      <c r="AO5" s="23">
        <v>1</v>
      </c>
      <c r="AP5" s="35" t="s">
        <v>36</v>
      </c>
      <c r="AQ5" s="60">
        <v>972204</v>
      </c>
      <c r="AR5" s="27">
        <v>339109</v>
      </c>
      <c r="AS5" s="23" t="s">
        <v>26</v>
      </c>
      <c r="AT5" s="44">
        <v>345084</v>
      </c>
      <c r="AU5" s="56">
        <v>795384</v>
      </c>
      <c r="AV5" s="50">
        <v>464408</v>
      </c>
      <c r="AW5" s="53">
        <f t="shared" si="0"/>
        <v>1656397</v>
      </c>
      <c r="AY5" s="23">
        <v>2</v>
      </c>
      <c r="AZ5" s="55" t="s">
        <v>37</v>
      </c>
      <c r="BA5" s="66">
        <v>972204</v>
      </c>
      <c r="BB5" s="27">
        <v>339109</v>
      </c>
      <c r="BC5" s="22" t="s">
        <v>28</v>
      </c>
      <c r="BD5" s="67">
        <v>345084</v>
      </c>
      <c r="BE5" s="56">
        <v>795384</v>
      </c>
      <c r="BF5" s="50">
        <v>464408</v>
      </c>
      <c r="BG5" s="59">
        <f t="shared" si="1"/>
        <v>1656397</v>
      </c>
      <c r="BI5" s="23">
        <v>2</v>
      </c>
      <c r="BJ5" s="55" t="s">
        <v>37</v>
      </c>
      <c r="BK5" s="43">
        <v>922145</v>
      </c>
      <c r="BL5" s="27">
        <v>339109</v>
      </c>
      <c r="BM5" s="22" t="s">
        <v>28</v>
      </c>
      <c r="BN5" s="44">
        <v>345084</v>
      </c>
      <c r="BO5" s="56">
        <v>795384</v>
      </c>
      <c r="BP5" s="27">
        <v>464408</v>
      </c>
      <c r="BQ5" s="27">
        <f t="shared" si="2"/>
        <v>1606338</v>
      </c>
    </row>
    <row r="6" spans="2:69" ht="16.5" x14ac:dyDescent="0.3">
      <c r="B6" s="2"/>
      <c r="C6" s="7" t="s">
        <v>6</v>
      </c>
      <c r="D6" s="17" t="s">
        <v>67</v>
      </c>
      <c r="E6" s="7" t="s">
        <v>71</v>
      </c>
      <c r="F6" s="7">
        <v>1</v>
      </c>
      <c r="G6" s="7">
        <v>1</v>
      </c>
      <c r="H6" s="8"/>
      <c r="I6" s="8">
        <f>+H6*14%</f>
        <v>0</v>
      </c>
      <c r="J6" s="8">
        <f>+H6+I6</f>
        <v>0</v>
      </c>
      <c r="K6" s="9"/>
      <c r="N6" s="21"/>
      <c r="AO6" s="28">
        <v>1</v>
      </c>
      <c r="AP6" s="34" t="s">
        <v>38</v>
      </c>
      <c r="AQ6" s="41">
        <v>972204</v>
      </c>
      <c r="AR6" s="29">
        <v>339109</v>
      </c>
      <c r="AS6" s="28" t="s">
        <v>26</v>
      </c>
      <c r="AT6" s="42">
        <v>345084</v>
      </c>
      <c r="AU6" s="37">
        <v>795384</v>
      </c>
      <c r="AV6" s="49">
        <v>464408</v>
      </c>
      <c r="AW6" s="52">
        <f t="shared" ref="AW6" si="3">+AQ6+AR6+AT6</f>
        <v>1656397</v>
      </c>
      <c r="AY6" s="28">
        <v>2</v>
      </c>
      <c r="AZ6" s="33" t="s">
        <v>39</v>
      </c>
      <c r="BA6" s="64">
        <v>972204</v>
      </c>
      <c r="BB6" s="29">
        <v>339109</v>
      </c>
      <c r="BC6" s="31" t="s">
        <v>28</v>
      </c>
      <c r="BD6" s="65">
        <v>345084</v>
      </c>
      <c r="BE6" s="37">
        <v>795384</v>
      </c>
      <c r="BF6" s="49">
        <v>464408</v>
      </c>
      <c r="BG6" s="58">
        <f t="shared" ref="BG6" si="4">+BA6+BB6+BD6</f>
        <v>1656397</v>
      </c>
      <c r="BI6" s="28">
        <v>2</v>
      </c>
      <c r="BJ6" s="33" t="s">
        <v>39</v>
      </c>
      <c r="BK6" s="41">
        <v>922145</v>
      </c>
      <c r="BL6" s="29">
        <v>339109</v>
      </c>
      <c r="BM6" s="31" t="s">
        <v>28</v>
      </c>
      <c r="BN6" s="42">
        <v>345084</v>
      </c>
      <c r="BO6" s="37">
        <v>795384</v>
      </c>
      <c r="BP6" s="29">
        <v>464408</v>
      </c>
      <c r="BQ6" s="29">
        <f t="shared" ref="BQ6" si="5">+BK6+BL6+BN6</f>
        <v>1606338</v>
      </c>
    </row>
    <row r="7" spans="2:69" ht="16.5" x14ac:dyDescent="0.3">
      <c r="B7" s="2"/>
      <c r="C7" s="7" t="s">
        <v>7</v>
      </c>
      <c r="D7" s="17" t="s">
        <v>69</v>
      </c>
      <c r="E7" s="7" t="s">
        <v>71</v>
      </c>
      <c r="F7" s="7">
        <v>1</v>
      </c>
      <c r="G7" s="7">
        <v>2</v>
      </c>
      <c r="H7" s="8">
        <v>200000</v>
      </c>
      <c r="I7" s="8">
        <f>+H7*14%</f>
        <v>28000.000000000004</v>
      </c>
      <c r="J7" s="8">
        <f>+H7+I7</f>
        <v>228000</v>
      </c>
      <c r="K7" s="9"/>
      <c r="N7" s="21"/>
      <c r="AO7" s="28">
        <v>1</v>
      </c>
      <c r="AP7" s="34" t="s">
        <v>38</v>
      </c>
      <c r="AQ7" s="41">
        <v>972204</v>
      </c>
      <c r="AR7" s="29">
        <v>339109</v>
      </c>
      <c r="AS7" s="28" t="s">
        <v>26</v>
      </c>
      <c r="AT7" s="42">
        <v>345084</v>
      </c>
      <c r="AU7" s="37">
        <v>795384</v>
      </c>
      <c r="AV7" s="49">
        <v>464408</v>
      </c>
      <c r="AW7" s="52">
        <f t="shared" ref="AW7" si="6">+AQ7+AR7+AT7</f>
        <v>1656397</v>
      </c>
      <c r="AY7" s="28">
        <v>2</v>
      </c>
      <c r="AZ7" s="33" t="s">
        <v>39</v>
      </c>
      <c r="BA7" s="64">
        <v>972204</v>
      </c>
      <c r="BB7" s="29">
        <v>339109</v>
      </c>
      <c r="BC7" s="31" t="s">
        <v>28</v>
      </c>
      <c r="BD7" s="65">
        <v>345084</v>
      </c>
      <c r="BE7" s="37">
        <v>795384</v>
      </c>
      <c r="BF7" s="49">
        <v>464408</v>
      </c>
      <c r="BG7" s="58">
        <f t="shared" ref="BG7" si="7">+BA7+BB7+BD7</f>
        <v>1656397</v>
      </c>
      <c r="BI7" s="28">
        <v>2</v>
      </c>
      <c r="BJ7" s="33" t="s">
        <v>39</v>
      </c>
      <c r="BK7" s="41">
        <v>922145</v>
      </c>
      <c r="BL7" s="29">
        <v>339109</v>
      </c>
      <c r="BM7" s="31" t="s">
        <v>28</v>
      </c>
      <c r="BN7" s="42">
        <v>345084</v>
      </c>
      <c r="BO7" s="37">
        <v>795384</v>
      </c>
      <c r="BP7" s="29">
        <v>464408</v>
      </c>
      <c r="BQ7" s="29">
        <f t="shared" ref="BQ7" si="8">+BK7+BL7+BN7</f>
        <v>1606338</v>
      </c>
    </row>
    <row r="8" spans="2:69" ht="16.5" x14ac:dyDescent="0.3">
      <c r="B8" s="2"/>
      <c r="C8" s="7" t="s">
        <v>8</v>
      </c>
      <c r="D8" s="17" t="s">
        <v>72</v>
      </c>
      <c r="E8" s="7" t="s">
        <v>71</v>
      </c>
      <c r="F8" s="7">
        <v>1</v>
      </c>
      <c r="G8" s="7">
        <v>1</v>
      </c>
      <c r="H8" s="8"/>
      <c r="I8" s="8">
        <f>+H8*14%</f>
        <v>0</v>
      </c>
      <c r="J8" s="8">
        <f>+H8+I8</f>
        <v>0</v>
      </c>
      <c r="K8" s="9"/>
      <c r="N8" s="21"/>
      <c r="AO8" s="28">
        <v>1</v>
      </c>
      <c r="AP8" s="34" t="s">
        <v>38</v>
      </c>
      <c r="AQ8" s="41">
        <v>972204</v>
      </c>
      <c r="AR8" s="29">
        <v>339109</v>
      </c>
      <c r="AS8" s="28" t="s">
        <v>26</v>
      </c>
      <c r="AT8" s="42">
        <v>345084</v>
      </c>
      <c r="AU8" s="37">
        <v>795384</v>
      </c>
      <c r="AV8" s="49">
        <v>464408</v>
      </c>
      <c r="AW8" s="52">
        <f t="shared" si="0"/>
        <v>1656397</v>
      </c>
      <c r="AY8" s="28">
        <v>2</v>
      </c>
      <c r="AZ8" s="33" t="s">
        <v>39</v>
      </c>
      <c r="BA8" s="64">
        <v>972204</v>
      </c>
      <c r="BB8" s="29">
        <v>339109</v>
      </c>
      <c r="BC8" s="31" t="s">
        <v>28</v>
      </c>
      <c r="BD8" s="65">
        <v>345084</v>
      </c>
      <c r="BE8" s="37">
        <v>795384</v>
      </c>
      <c r="BF8" s="49">
        <v>464408</v>
      </c>
      <c r="BG8" s="58">
        <f t="shared" si="1"/>
        <v>1656397</v>
      </c>
      <c r="BI8" s="28">
        <v>2</v>
      </c>
      <c r="BJ8" s="33" t="s">
        <v>39</v>
      </c>
      <c r="BK8" s="41">
        <v>922145</v>
      </c>
      <c r="BL8" s="29">
        <v>339109</v>
      </c>
      <c r="BM8" s="31" t="s">
        <v>28</v>
      </c>
      <c r="BN8" s="42">
        <v>345084</v>
      </c>
      <c r="BO8" s="37">
        <v>795384</v>
      </c>
      <c r="BP8" s="29">
        <v>464408</v>
      </c>
      <c r="BQ8" s="29">
        <f t="shared" si="2"/>
        <v>1606338</v>
      </c>
    </row>
    <row r="9" spans="2:69" ht="16.5" x14ac:dyDescent="0.3">
      <c r="B9" s="2"/>
      <c r="C9" s="7" t="s">
        <v>9</v>
      </c>
      <c r="D9" s="17" t="s">
        <v>73</v>
      </c>
      <c r="E9" s="7" t="s">
        <v>71</v>
      </c>
      <c r="F9" s="7">
        <v>1</v>
      </c>
      <c r="G9" s="7">
        <v>1</v>
      </c>
      <c r="H9" s="8">
        <v>70000</v>
      </c>
      <c r="I9" s="8">
        <f t="shared" ref="I9" si="9">+H9*14%</f>
        <v>9800.0000000000018</v>
      </c>
      <c r="J9" s="8">
        <f t="shared" ref="J9" si="10">+H9+I9</f>
        <v>79800</v>
      </c>
      <c r="K9" s="9"/>
      <c r="N9" s="21"/>
      <c r="AO9" s="28"/>
      <c r="AP9" s="34"/>
      <c r="AQ9" s="41"/>
      <c r="AR9" s="29"/>
      <c r="AS9" s="28"/>
      <c r="AT9" s="42"/>
      <c r="AU9" s="37"/>
      <c r="AV9" s="49"/>
      <c r="AW9" s="52"/>
      <c r="AY9" s="28"/>
      <c r="AZ9" s="33"/>
      <c r="BA9" s="64"/>
      <c r="BB9" s="29"/>
      <c r="BC9" s="31"/>
      <c r="BD9" s="65"/>
      <c r="BE9" s="37"/>
      <c r="BF9" s="49"/>
      <c r="BG9" s="58"/>
      <c r="BI9" s="28"/>
      <c r="BJ9" s="33"/>
      <c r="BK9" s="41"/>
      <c r="BL9" s="29"/>
      <c r="BM9" s="31"/>
      <c r="BN9" s="42"/>
      <c r="BO9" s="37"/>
      <c r="BP9" s="29"/>
      <c r="BQ9" s="29"/>
    </row>
    <row r="10" spans="2:69" ht="16.5" x14ac:dyDescent="0.3">
      <c r="B10" s="2"/>
      <c r="D10" s="99"/>
      <c r="E10" s="99"/>
      <c r="F10" s="99"/>
      <c r="G10" s="99"/>
      <c r="H10" s="99"/>
      <c r="I10" s="100"/>
      <c r="J10" s="10">
        <f>SUM(J6:J9)</f>
        <v>307800</v>
      </c>
      <c r="K10" s="9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O10" s="23">
        <v>1</v>
      </c>
      <c r="AP10" s="35" t="s">
        <v>40</v>
      </c>
      <c r="AQ10" s="60">
        <v>972204</v>
      </c>
      <c r="AR10" s="27">
        <v>339109</v>
      </c>
      <c r="AS10" s="23" t="s">
        <v>26</v>
      </c>
      <c r="AT10" s="44">
        <v>345084</v>
      </c>
      <c r="AU10" s="56">
        <v>795384</v>
      </c>
      <c r="AV10" s="50">
        <v>464408</v>
      </c>
      <c r="AW10" s="53">
        <f t="shared" si="0"/>
        <v>1656397</v>
      </c>
      <c r="AY10" s="23">
        <v>2</v>
      </c>
      <c r="AZ10" s="55" t="s">
        <v>41</v>
      </c>
      <c r="BA10" s="66">
        <v>972204</v>
      </c>
      <c r="BB10" s="27">
        <v>339109</v>
      </c>
      <c r="BC10" s="22" t="s">
        <v>28</v>
      </c>
      <c r="BD10" s="67">
        <v>345084</v>
      </c>
      <c r="BE10" s="56">
        <v>795384</v>
      </c>
      <c r="BF10" s="50">
        <v>464408</v>
      </c>
      <c r="BG10" s="59">
        <f t="shared" si="1"/>
        <v>1656397</v>
      </c>
      <c r="BI10" s="23">
        <v>2</v>
      </c>
      <c r="BJ10" s="55" t="s">
        <v>41</v>
      </c>
      <c r="BK10" s="43">
        <v>922145</v>
      </c>
      <c r="BL10" s="27">
        <v>339109</v>
      </c>
      <c r="BM10" s="22" t="s">
        <v>28</v>
      </c>
      <c r="BN10" s="44">
        <v>345084</v>
      </c>
      <c r="BO10" s="56">
        <v>795384</v>
      </c>
      <c r="BP10" s="27">
        <v>464408</v>
      </c>
      <c r="BQ10" s="27">
        <f t="shared" si="2"/>
        <v>1606338</v>
      </c>
    </row>
    <row r="11" spans="2:69" ht="16.5" x14ac:dyDescent="0.3">
      <c r="B11" s="2"/>
      <c r="D11" s="105" t="s">
        <v>77</v>
      </c>
      <c r="E11" s="105"/>
      <c r="F11" s="96"/>
      <c r="G11" s="96"/>
      <c r="H11" s="97"/>
      <c r="I11" s="97"/>
      <c r="J11" s="97"/>
      <c r="K11" s="9"/>
      <c r="AO11" s="23">
        <v>1</v>
      </c>
      <c r="AP11" s="35" t="s">
        <v>42</v>
      </c>
      <c r="AQ11" s="60">
        <v>972204</v>
      </c>
      <c r="AR11" s="27">
        <v>339109</v>
      </c>
      <c r="AS11" s="23" t="s">
        <v>26</v>
      </c>
      <c r="AT11" s="44">
        <v>345084</v>
      </c>
      <c r="AU11" s="56">
        <v>795384</v>
      </c>
      <c r="AV11" s="50">
        <v>464408</v>
      </c>
      <c r="AW11" s="53">
        <f t="shared" si="0"/>
        <v>1656397</v>
      </c>
      <c r="AY11" s="23">
        <v>2</v>
      </c>
      <c r="AZ11" s="55" t="s">
        <v>43</v>
      </c>
      <c r="BA11" s="66">
        <v>972204</v>
      </c>
      <c r="BB11" s="27">
        <v>339109</v>
      </c>
      <c r="BC11" s="22" t="s">
        <v>28</v>
      </c>
      <c r="BD11" s="67">
        <v>345084</v>
      </c>
      <c r="BE11" s="56">
        <v>795384</v>
      </c>
      <c r="BF11" s="50">
        <v>464408</v>
      </c>
      <c r="BG11" s="59">
        <f t="shared" si="1"/>
        <v>1656397</v>
      </c>
      <c r="BI11" s="23">
        <v>2</v>
      </c>
      <c r="BJ11" s="55" t="s">
        <v>43</v>
      </c>
      <c r="BK11" s="43">
        <v>922145</v>
      </c>
      <c r="BL11" s="27">
        <v>339109</v>
      </c>
      <c r="BM11" s="22" t="s">
        <v>28</v>
      </c>
      <c r="BN11" s="44">
        <v>345084</v>
      </c>
      <c r="BO11" s="56">
        <v>795384</v>
      </c>
      <c r="BP11" s="27">
        <v>464408</v>
      </c>
      <c r="BQ11" s="27">
        <f t="shared" si="2"/>
        <v>1606338</v>
      </c>
    </row>
    <row r="12" spans="2:69" ht="16.5" x14ac:dyDescent="0.3">
      <c r="B12" s="2"/>
      <c r="C12" s="5"/>
      <c r="D12" s="5" t="s">
        <v>2</v>
      </c>
      <c r="E12" s="6" t="s">
        <v>34</v>
      </c>
      <c r="F12" s="6" t="s">
        <v>4</v>
      </c>
      <c r="G12" s="6" t="s">
        <v>70</v>
      </c>
      <c r="H12" s="6" t="s">
        <v>35</v>
      </c>
      <c r="I12" s="6" t="s">
        <v>44</v>
      </c>
      <c r="J12" s="6" t="s">
        <v>5</v>
      </c>
      <c r="K12" s="9"/>
      <c r="AO12" s="28">
        <v>1</v>
      </c>
      <c r="AP12" s="34" t="s">
        <v>45</v>
      </c>
      <c r="AQ12" s="41">
        <v>972204</v>
      </c>
      <c r="AR12" s="29">
        <v>339109</v>
      </c>
      <c r="AS12" s="28" t="s">
        <v>26</v>
      </c>
      <c r="AT12" s="42">
        <v>345084</v>
      </c>
      <c r="AU12" s="37">
        <v>795384</v>
      </c>
      <c r="AV12" s="49">
        <v>464408</v>
      </c>
      <c r="AW12" s="52">
        <f t="shared" si="0"/>
        <v>1656397</v>
      </c>
      <c r="AY12" s="28">
        <v>2</v>
      </c>
      <c r="AZ12" s="33" t="s">
        <v>46</v>
      </c>
      <c r="BA12" s="64">
        <v>972204</v>
      </c>
      <c r="BB12" s="29">
        <v>339109</v>
      </c>
      <c r="BC12" s="31" t="s">
        <v>28</v>
      </c>
      <c r="BD12" s="65">
        <v>345084</v>
      </c>
      <c r="BE12" s="37">
        <v>795384</v>
      </c>
      <c r="BF12" s="49">
        <v>464408</v>
      </c>
      <c r="BG12" s="58">
        <f t="shared" si="1"/>
        <v>1656397</v>
      </c>
      <c r="BI12" s="28">
        <v>2</v>
      </c>
      <c r="BJ12" s="33" t="s">
        <v>46</v>
      </c>
      <c r="BK12" s="41">
        <v>922145</v>
      </c>
      <c r="BL12" s="29">
        <v>339109</v>
      </c>
      <c r="BM12" s="31" t="s">
        <v>28</v>
      </c>
      <c r="BN12" s="42">
        <v>345084</v>
      </c>
      <c r="BO12" s="37">
        <v>795384</v>
      </c>
      <c r="BP12" s="29">
        <v>464408</v>
      </c>
      <c r="BQ12" s="29">
        <f t="shared" si="2"/>
        <v>1606338</v>
      </c>
    </row>
    <row r="13" spans="2:69" ht="16.5" x14ac:dyDescent="0.3">
      <c r="B13" s="2"/>
      <c r="C13" s="7"/>
      <c r="D13" s="11" t="s">
        <v>79</v>
      </c>
      <c r="E13" s="12" t="s">
        <v>114</v>
      </c>
      <c r="F13" s="13">
        <v>1</v>
      </c>
      <c r="G13" s="13">
        <v>2</v>
      </c>
      <c r="H13" s="14">
        <v>250000</v>
      </c>
      <c r="I13" s="14">
        <f t="shared" ref="I13:I14" si="11">H13*0.19</f>
        <v>47500</v>
      </c>
      <c r="J13" s="14">
        <f t="shared" ref="J13:J19" si="12">(H13+I13)*F13*G13</f>
        <v>595000</v>
      </c>
      <c r="K13" s="9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8">
        <v>1</v>
      </c>
      <c r="AP13" s="34" t="s">
        <v>48</v>
      </c>
      <c r="AQ13" s="41">
        <v>972204</v>
      </c>
      <c r="AR13" s="29">
        <v>339109</v>
      </c>
      <c r="AS13" s="28" t="s">
        <v>26</v>
      </c>
      <c r="AT13" s="42">
        <v>345084</v>
      </c>
      <c r="AU13" s="37">
        <v>795384</v>
      </c>
      <c r="AV13" s="49">
        <v>464408</v>
      </c>
      <c r="AW13" s="52">
        <f t="shared" si="0"/>
        <v>1656397</v>
      </c>
      <c r="AY13" s="28">
        <v>2</v>
      </c>
      <c r="AZ13" s="33" t="s">
        <v>49</v>
      </c>
      <c r="BA13" s="64">
        <v>972204</v>
      </c>
      <c r="BB13" s="29">
        <v>339109</v>
      </c>
      <c r="BC13" s="31" t="s">
        <v>28</v>
      </c>
      <c r="BD13" s="65">
        <v>345084</v>
      </c>
      <c r="BE13" s="37">
        <v>795384</v>
      </c>
      <c r="BF13" s="49">
        <v>464408</v>
      </c>
      <c r="BG13" s="58">
        <f t="shared" si="1"/>
        <v>1656397</v>
      </c>
      <c r="BI13" s="28">
        <v>2</v>
      </c>
      <c r="BJ13" s="33" t="s">
        <v>49</v>
      </c>
      <c r="BK13" s="41">
        <v>922145</v>
      </c>
      <c r="BL13" s="29">
        <v>339109</v>
      </c>
      <c r="BM13" s="31" t="s">
        <v>28</v>
      </c>
      <c r="BN13" s="42">
        <v>345084</v>
      </c>
      <c r="BO13" s="37">
        <v>795384</v>
      </c>
      <c r="BP13" s="29">
        <v>464408</v>
      </c>
      <c r="BQ13" s="29">
        <f t="shared" si="2"/>
        <v>1606338</v>
      </c>
    </row>
    <row r="14" spans="2:69" ht="16.5" x14ac:dyDescent="0.3">
      <c r="B14" s="2"/>
      <c r="C14" s="7"/>
      <c r="D14" s="11" t="s">
        <v>80</v>
      </c>
      <c r="E14" s="12" t="s">
        <v>114</v>
      </c>
      <c r="F14" s="13">
        <v>1</v>
      </c>
      <c r="G14" s="13">
        <v>3</v>
      </c>
      <c r="H14" s="14">
        <v>100000</v>
      </c>
      <c r="I14" s="14">
        <f t="shared" si="11"/>
        <v>19000</v>
      </c>
      <c r="J14" s="14">
        <f t="shared" si="12"/>
        <v>357000</v>
      </c>
      <c r="K14" s="9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3">
        <v>1</v>
      </c>
      <c r="AP14" s="35" t="s">
        <v>51</v>
      </c>
      <c r="AQ14" s="60">
        <v>972204</v>
      </c>
      <c r="AR14" s="27">
        <v>339109</v>
      </c>
      <c r="AS14" s="23" t="s">
        <v>26</v>
      </c>
      <c r="AT14" s="44">
        <v>345084</v>
      </c>
      <c r="AU14" s="56">
        <v>795384</v>
      </c>
      <c r="AV14" s="50">
        <v>464408</v>
      </c>
      <c r="AW14" s="53">
        <f t="shared" si="0"/>
        <v>1656397</v>
      </c>
      <c r="AY14" s="23">
        <v>2</v>
      </c>
      <c r="AZ14" s="55" t="s">
        <v>52</v>
      </c>
      <c r="BA14" s="66">
        <v>972204</v>
      </c>
      <c r="BB14" s="27">
        <v>339109</v>
      </c>
      <c r="BC14" s="22" t="s">
        <v>28</v>
      </c>
      <c r="BD14" s="67">
        <v>345084</v>
      </c>
      <c r="BE14" s="56">
        <v>795384</v>
      </c>
      <c r="BF14" s="50">
        <v>464408</v>
      </c>
      <c r="BG14" s="59">
        <f t="shared" si="1"/>
        <v>1656397</v>
      </c>
      <c r="BI14" s="23">
        <v>2</v>
      </c>
      <c r="BJ14" s="55" t="s">
        <v>52</v>
      </c>
      <c r="BK14" s="43">
        <v>922145</v>
      </c>
      <c r="BL14" s="27">
        <v>339109</v>
      </c>
      <c r="BM14" s="22" t="s">
        <v>28</v>
      </c>
      <c r="BN14" s="44">
        <v>345084</v>
      </c>
      <c r="BO14" s="56">
        <v>795384</v>
      </c>
      <c r="BP14" s="27">
        <v>464408</v>
      </c>
      <c r="BQ14" s="27">
        <f t="shared" si="2"/>
        <v>1606338</v>
      </c>
    </row>
    <row r="15" spans="2:69" ht="16.5" x14ac:dyDescent="0.3">
      <c r="B15" s="2"/>
      <c r="C15" s="7"/>
      <c r="D15" s="11" t="s">
        <v>81</v>
      </c>
      <c r="E15" s="12" t="s">
        <v>115</v>
      </c>
      <c r="F15" s="13">
        <v>2</v>
      </c>
      <c r="G15" s="13">
        <v>3</v>
      </c>
      <c r="H15" s="14">
        <v>50000</v>
      </c>
      <c r="I15" s="14">
        <f t="shared" ref="I15:I16" si="13">H15*0.19</f>
        <v>9500</v>
      </c>
      <c r="J15" s="14">
        <f t="shared" si="12"/>
        <v>357000</v>
      </c>
      <c r="K15" s="9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8">
        <v>1</v>
      </c>
      <c r="AP15" s="34" t="s">
        <v>48</v>
      </c>
      <c r="AQ15" s="41">
        <v>972204</v>
      </c>
      <c r="AR15" s="29">
        <v>339109</v>
      </c>
      <c r="AS15" s="28" t="s">
        <v>26</v>
      </c>
      <c r="AT15" s="42">
        <v>345084</v>
      </c>
      <c r="AU15" s="37">
        <v>795384</v>
      </c>
      <c r="AV15" s="49">
        <v>464408</v>
      </c>
      <c r="AW15" s="52">
        <f t="shared" ref="AW15:AW16" si="14">+AQ15+AR15+AT15</f>
        <v>1656397</v>
      </c>
      <c r="AY15" s="28">
        <v>2</v>
      </c>
      <c r="AZ15" s="33" t="s">
        <v>49</v>
      </c>
      <c r="BA15" s="64">
        <v>972204</v>
      </c>
      <c r="BB15" s="29">
        <v>339109</v>
      </c>
      <c r="BC15" s="31" t="s">
        <v>28</v>
      </c>
      <c r="BD15" s="65">
        <v>345084</v>
      </c>
      <c r="BE15" s="37">
        <v>795384</v>
      </c>
      <c r="BF15" s="49">
        <v>464408</v>
      </c>
      <c r="BG15" s="58">
        <f t="shared" ref="BG15:BG16" si="15">+BA15+BB15+BD15</f>
        <v>1656397</v>
      </c>
      <c r="BI15" s="28">
        <v>2</v>
      </c>
      <c r="BJ15" s="33" t="s">
        <v>49</v>
      </c>
      <c r="BK15" s="41">
        <v>922145</v>
      </c>
      <c r="BL15" s="29">
        <v>339109</v>
      </c>
      <c r="BM15" s="31" t="s">
        <v>28</v>
      </c>
      <c r="BN15" s="42">
        <v>345084</v>
      </c>
      <c r="BO15" s="37">
        <v>795384</v>
      </c>
      <c r="BP15" s="29">
        <v>464408</v>
      </c>
      <c r="BQ15" s="29">
        <f t="shared" ref="BQ15:BQ16" si="16">+BK15+BL15+BN15</f>
        <v>1606338</v>
      </c>
    </row>
    <row r="16" spans="2:69" ht="16.5" x14ac:dyDescent="0.3">
      <c r="B16" s="2"/>
      <c r="C16" s="7"/>
      <c r="D16" s="11" t="s">
        <v>82</v>
      </c>
      <c r="E16" s="12" t="s">
        <v>114</v>
      </c>
      <c r="F16" s="13">
        <v>2</v>
      </c>
      <c r="G16" s="13">
        <v>2</v>
      </c>
      <c r="H16" s="14">
        <v>15000</v>
      </c>
      <c r="I16" s="14">
        <f t="shared" si="13"/>
        <v>2850</v>
      </c>
      <c r="J16" s="14">
        <f t="shared" si="12"/>
        <v>71400</v>
      </c>
      <c r="K16" s="9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3">
        <v>1</v>
      </c>
      <c r="AP16" s="35" t="s">
        <v>51</v>
      </c>
      <c r="AQ16" s="60">
        <v>972204</v>
      </c>
      <c r="AR16" s="27">
        <v>339109</v>
      </c>
      <c r="AS16" s="23" t="s">
        <v>26</v>
      </c>
      <c r="AT16" s="44">
        <v>345084</v>
      </c>
      <c r="AU16" s="56">
        <v>795384</v>
      </c>
      <c r="AV16" s="50">
        <v>464408</v>
      </c>
      <c r="AW16" s="53">
        <f t="shared" si="14"/>
        <v>1656397</v>
      </c>
      <c r="AY16" s="23">
        <v>2</v>
      </c>
      <c r="AZ16" s="55" t="s">
        <v>52</v>
      </c>
      <c r="BA16" s="66">
        <v>972204</v>
      </c>
      <c r="BB16" s="27">
        <v>339109</v>
      </c>
      <c r="BC16" s="22" t="s">
        <v>28</v>
      </c>
      <c r="BD16" s="67">
        <v>345084</v>
      </c>
      <c r="BE16" s="56">
        <v>795384</v>
      </c>
      <c r="BF16" s="50">
        <v>464408</v>
      </c>
      <c r="BG16" s="59">
        <f t="shared" si="15"/>
        <v>1656397</v>
      </c>
      <c r="BI16" s="23">
        <v>2</v>
      </c>
      <c r="BJ16" s="55" t="s">
        <v>52</v>
      </c>
      <c r="BK16" s="43">
        <v>922145</v>
      </c>
      <c r="BL16" s="27">
        <v>339109</v>
      </c>
      <c r="BM16" s="22" t="s">
        <v>28</v>
      </c>
      <c r="BN16" s="44">
        <v>345084</v>
      </c>
      <c r="BO16" s="56">
        <v>795384</v>
      </c>
      <c r="BP16" s="27">
        <v>464408</v>
      </c>
      <c r="BQ16" s="27">
        <f t="shared" si="16"/>
        <v>1606338</v>
      </c>
    </row>
    <row r="17" spans="2:69" ht="16.5" x14ac:dyDescent="0.3">
      <c r="B17" s="2"/>
      <c r="C17" s="7"/>
      <c r="D17" s="11" t="s">
        <v>83</v>
      </c>
      <c r="E17" s="12" t="s">
        <v>114</v>
      </c>
      <c r="F17" s="13">
        <v>1</v>
      </c>
      <c r="G17" s="13">
        <v>1</v>
      </c>
      <c r="H17" s="14">
        <v>15000</v>
      </c>
      <c r="I17" s="14">
        <f t="shared" ref="I17:I18" si="17">H17*0.19</f>
        <v>2850</v>
      </c>
      <c r="J17" s="14">
        <f t="shared" si="12"/>
        <v>17850</v>
      </c>
      <c r="K17" s="9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8">
        <v>1</v>
      </c>
      <c r="AP17" s="34" t="s">
        <v>48</v>
      </c>
      <c r="AQ17" s="41">
        <v>972204</v>
      </c>
      <c r="AR17" s="29">
        <v>339109</v>
      </c>
      <c r="AS17" s="28" t="s">
        <v>26</v>
      </c>
      <c r="AT17" s="42">
        <v>345084</v>
      </c>
      <c r="AU17" s="37">
        <v>795384</v>
      </c>
      <c r="AV17" s="49">
        <v>464408</v>
      </c>
      <c r="AW17" s="52">
        <f t="shared" ref="AW17:AW18" si="18">+AQ17+AR17+AT17</f>
        <v>1656397</v>
      </c>
      <c r="AY17" s="28">
        <v>2</v>
      </c>
      <c r="AZ17" s="33" t="s">
        <v>49</v>
      </c>
      <c r="BA17" s="64">
        <v>972204</v>
      </c>
      <c r="BB17" s="29">
        <v>339109</v>
      </c>
      <c r="BC17" s="31" t="s">
        <v>28</v>
      </c>
      <c r="BD17" s="65">
        <v>345084</v>
      </c>
      <c r="BE17" s="37">
        <v>795384</v>
      </c>
      <c r="BF17" s="49">
        <v>464408</v>
      </c>
      <c r="BG17" s="58">
        <f t="shared" ref="BG17:BG18" si="19">+BA17+BB17+BD17</f>
        <v>1656397</v>
      </c>
      <c r="BI17" s="28">
        <v>2</v>
      </c>
      <c r="BJ17" s="33" t="s">
        <v>49</v>
      </c>
      <c r="BK17" s="41">
        <v>922145</v>
      </c>
      <c r="BL17" s="29">
        <v>339109</v>
      </c>
      <c r="BM17" s="31" t="s">
        <v>28</v>
      </c>
      <c r="BN17" s="42">
        <v>345084</v>
      </c>
      <c r="BO17" s="37">
        <v>795384</v>
      </c>
      <c r="BP17" s="29">
        <v>464408</v>
      </c>
      <c r="BQ17" s="29">
        <f t="shared" ref="BQ17:BQ18" si="20">+BK17+BL17+BN17</f>
        <v>1606338</v>
      </c>
    </row>
    <row r="18" spans="2:69" ht="16.5" x14ac:dyDescent="0.3">
      <c r="B18" s="2"/>
      <c r="C18" s="7"/>
      <c r="D18" s="11" t="s">
        <v>84</v>
      </c>
      <c r="E18" s="12" t="s">
        <v>114</v>
      </c>
      <c r="F18" s="13">
        <v>1</v>
      </c>
      <c r="G18" s="13">
        <v>1</v>
      </c>
      <c r="H18" s="14">
        <v>50000</v>
      </c>
      <c r="I18" s="14">
        <f t="shared" si="17"/>
        <v>9500</v>
      </c>
      <c r="J18" s="14">
        <f t="shared" si="12"/>
        <v>59500</v>
      </c>
      <c r="K18" s="9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3">
        <v>1</v>
      </c>
      <c r="AP18" s="35" t="s">
        <v>51</v>
      </c>
      <c r="AQ18" s="60">
        <v>972204</v>
      </c>
      <c r="AR18" s="27">
        <v>339109</v>
      </c>
      <c r="AS18" s="23" t="s">
        <v>26</v>
      </c>
      <c r="AT18" s="44">
        <v>345084</v>
      </c>
      <c r="AU18" s="56">
        <v>795384</v>
      </c>
      <c r="AV18" s="50">
        <v>464408</v>
      </c>
      <c r="AW18" s="53">
        <f t="shared" si="18"/>
        <v>1656397</v>
      </c>
      <c r="AY18" s="23">
        <v>2</v>
      </c>
      <c r="AZ18" s="55" t="s">
        <v>52</v>
      </c>
      <c r="BA18" s="66">
        <v>972204</v>
      </c>
      <c r="BB18" s="27">
        <v>339109</v>
      </c>
      <c r="BC18" s="22" t="s">
        <v>28</v>
      </c>
      <c r="BD18" s="67">
        <v>345084</v>
      </c>
      <c r="BE18" s="56">
        <v>795384</v>
      </c>
      <c r="BF18" s="50">
        <v>464408</v>
      </c>
      <c r="BG18" s="59">
        <f t="shared" si="19"/>
        <v>1656397</v>
      </c>
      <c r="BI18" s="23">
        <v>2</v>
      </c>
      <c r="BJ18" s="55" t="s">
        <v>52</v>
      </c>
      <c r="BK18" s="43">
        <v>922145</v>
      </c>
      <c r="BL18" s="27">
        <v>339109</v>
      </c>
      <c r="BM18" s="22" t="s">
        <v>28</v>
      </c>
      <c r="BN18" s="44">
        <v>345084</v>
      </c>
      <c r="BO18" s="56">
        <v>795384</v>
      </c>
      <c r="BP18" s="27">
        <v>464408</v>
      </c>
      <c r="BQ18" s="27">
        <f t="shared" si="20"/>
        <v>1606338</v>
      </c>
    </row>
    <row r="19" spans="2:69" ht="16.5" x14ac:dyDescent="0.3">
      <c r="B19" s="2"/>
      <c r="C19" s="7"/>
      <c r="D19" s="11" t="s">
        <v>85</v>
      </c>
      <c r="E19" s="12" t="s">
        <v>115</v>
      </c>
      <c r="F19" s="13">
        <v>3</v>
      </c>
      <c r="G19" s="13">
        <v>1</v>
      </c>
      <c r="H19" s="14">
        <v>5000</v>
      </c>
      <c r="I19" s="14">
        <f t="shared" ref="I19" si="21">H19*0.19</f>
        <v>950</v>
      </c>
      <c r="J19" s="14">
        <f t="shared" si="12"/>
        <v>17850</v>
      </c>
      <c r="K19" s="9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8">
        <v>1</v>
      </c>
      <c r="AP19" s="34" t="s">
        <v>48</v>
      </c>
      <c r="AQ19" s="41">
        <v>972204</v>
      </c>
      <c r="AR19" s="29">
        <v>339109</v>
      </c>
      <c r="AS19" s="28" t="s">
        <v>26</v>
      </c>
      <c r="AT19" s="42">
        <v>345084</v>
      </c>
      <c r="AU19" s="37">
        <v>795384</v>
      </c>
      <c r="AV19" s="49">
        <v>464408</v>
      </c>
      <c r="AW19" s="52">
        <f t="shared" ref="AW19" si="22">+AQ19+AR19+AT19</f>
        <v>1656397</v>
      </c>
      <c r="AY19" s="28">
        <v>2</v>
      </c>
      <c r="AZ19" s="33" t="s">
        <v>49</v>
      </c>
      <c r="BA19" s="64">
        <v>972204</v>
      </c>
      <c r="BB19" s="29">
        <v>339109</v>
      </c>
      <c r="BC19" s="31" t="s">
        <v>28</v>
      </c>
      <c r="BD19" s="65">
        <v>345084</v>
      </c>
      <c r="BE19" s="37">
        <v>795384</v>
      </c>
      <c r="BF19" s="49">
        <v>464408</v>
      </c>
      <c r="BG19" s="58">
        <f t="shared" ref="BG19" si="23">+BA19+BB19+BD19</f>
        <v>1656397</v>
      </c>
      <c r="BI19" s="28">
        <v>2</v>
      </c>
      <c r="BJ19" s="33" t="s">
        <v>49</v>
      </c>
      <c r="BK19" s="41">
        <v>922145</v>
      </c>
      <c r="BL19" s="29">
        <v>339109</v>
      </c>
      <c r="BM19" s="31" t="s">
        <v>28</v>
      </c>
      <c r="BN19" s="42">
        <v>345084</v>
      </c>
      <c r="BO19" s="37">
        <v>795384</v>
      </c>
      <c r="BP19" s="29">
        <v>464408</v>
      </c>
      <c r="BQ19" s="29">
        <f t="shared" ref="BQ19" si="24">+BK19+BL19+BN19</f>
        <v>1606338</v>
      </c>
    </row>
    <row r="20" spans="2:69" ht="14.25" thickBot="1" x14ac:dyDescent="0.3">
      <c r="B20" s="2"/>
      <c r="D20" s="101"/>
      <c r="E20" s="96"/>
      <c r="F20" s="96"/>
      <c r="G20" s="96"/>
      <c r="H20" s="97"/>
      <c r="I20" s="97"/>
      <c r="J20" s="10">
        <f>SUM(J13:J19)</f>
        <v>1475600</v>
      </c>
      <c r="K20" s="4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21"/>
      <c r="AO20" s="23">
        <v>1</v>
      </c>
      <c r="AP20" s="35" t="s">
        <v>56</v>
      </c>
      <c r="AQ20" s="60">
        <v>972204</v>
      </c>
      <c r="AR20" s="45">
        <v>339109</v>
      </c>
      <c r="AS20" s="46" t="s">
        <v>26</v>
      </c>
      <c r="AT20" s="47">
        <v>345084</v>
      </c>
      <c r="AU20" s="56">
        <v>795384</v>
      </c>
      <c r="AV20" s="50">
        <v>464408</v>
      </c>
      <c r="AW20" s="54">
        <f t="shared" si="0"/>
        <v>1656397</v>
      </c>
    </row>
    <row r="21" spans="2:69" ht="13.5" thickTop="1" x14ac:dyDescent="0.2">
      <c r="B21" s="2"/>
      <c r="K21" s="4"/>
    </row>
    <row r="22" spans="2:69" ht="16.5" x14ac:dyDescent="0.3">
      <c r="B22" s="2"/>
      <c r="D22" s="105" t="s">
        <v>78</v>
      </c>
      <c r="E22" s="105"/>
      <c r="F22" s="96"/>
      <c r="G22" s="96"/>
      <c r="H22" s="97"/>
      <c r="I22" s="97"/>
      <c r="J22" s="97"/>
      <c r="K22" s="9"/>
      <c r="AO22" s="23">
        <v>1</v>
      </c>
      <c r="AP22" s="35" t="s">
        <v>42</v>
      </c>
      <c r="AQ22" s="60">
        <v>972204</v>
      </c>
      <c r="AR22" s="27">
        <v>339109</v>
      </c>
      <c r="AS22" s="23" t="s">
        <v>26</v>
      </c>
      <c r="AT22" s="44">
        <v>345084</v>
      </c>
      <c r="AU22" s="56">
        <v>795384</v>
      </c>
      <c r="AV22" s="50">
        <v>464408</v>
      </c>
      <c r="AW22" s="53">
        <f t="shared" ref="AW22:AW34" si="25">+AQ22+AR22+AT22</f>
        <v>1656397</v>
      </c>
      <c r="AY22" s="23">
        <v>2</v>
      </c>
      <c r="AZ22" s="55" t="s">
        <v>43</v>
      </c>
      <c r="BA22" s="66">
        <v>972204</v>
      </c>
      <c r="BB22" s="27">
        <v>339109</v>
      </c>
      <c r="BC22" s="22" t="s">
        <v>28</v>
      </c>
      <c r="BD22" s="67">
        <v>345084</v>
      </c>
      <c r="BE22" s="56">
        <v>795384</v>
      </c>
      <c r="BF22" s="50">
        <v>464408</v>
      </c>
      <c r="BG22" s="59">
        <f t="shared" ref="BG22:BG30" si="26">+BA22+BB22+BD22</f>
        <v>1656397</v>
      </c>
      <c r="BI22" s="23">
        <v>2</v>
      </c>
      <c r="BJ22" s="55" t="s">
        <v>43</v>
      </c>
      <c r="BK22" s="43">
        <v>922145</v>
      </c>
      <c r="BL22" s="27">
        <v>339109</v>
      </c>
      <c r="BM22" s="22" t="s">
        <v>28</v>
      </c>
      <c r="BN22" s="44">
        <v>345084</v>
      </c>
      <c r="BO22" s="56">
        <v>795384</v>
      </c>
      <c r="BP22" s="27">
        <v>464408</v>
      </c>
      <c r="BQ22" s="27">
        <f t="shared" ref="BQ22:BQ30" si="27">+BK22+BL22+BN22</f>
        <v>1606338</v>
      </c>
    </row>
    <row r="23" spans="2:69" ht="16.5" x14ac:dyDescent="0.3">
      <c r="B23" s="2"/>
      <c r="C23" s="5"/>
      <c r="D23" s="5" t="s">
        <v>2</v>
      </c>
      <c r="E23" s="6" t="s">
        <v>34</v>
      </c>
      <c r="F23" s="6" t="s">
        <v>4</v>
      </c>
      <c r="G23" s="6" t="s">
        <v>70</v>
      </c>
      <c r="H23" s="6" t="s">
        <v>35</v>
      </c>
      <c r="I23" s="6" t="s">
        <v>44</v>
      </c>
      <c r="J23" s="6" t="s">
        <v>5</v>
      </c>
      <c r="K23" s="9"/>
      <c r="AO23" s="28">
        <v>1</v>
      </c>
      <c r="AP23" s="34" t="s">
        <v>45</v>
      </c>
      <c r="AQ23" s="41">
        <v>972204</v>
      </c>
      <c r="AR23" s="29">
        <v>339109</v>
      </c>
      <c r="AS23" s="28" t="s">
        <v>26</v>
      </c>
      <c r="AT23" s="42">
        <v>345084</v>
      </c>
      <c r="AU23" s="37">
        <v>795384</v>
      </c>
      <c r="AV23" s="49">
        <v>464408</v>
      </c>
      <c r="AW23" s="52">
        <f t="shared" si="25"/>
        <v>1656397</v>
      </c>
      <c r="AY23" s="28">
        <v>2</v>
      </c>
      <c r="AZ23" s="33" t="s">
        <v>46</v>
      </c>
      <c r="BA23" s="64">
        <v>972204</v>
      </c>
      <c r="BB23" s="29">
        <v>339109</v>
      </c>
      <c r="BC23" s="31" t="s">
        <v>28</v>
      </c>
      <c r="BD23" s="65">
        <v>345084</v>
      </c>
      <c r="BE23" s="37">
        <v>795384</v>
      </c>
      <c r="BF23" s="49">
        <v>464408</v>
      </c>
      <c r="BG23" s="58">
        <f t="shared" si="26"/>
        <v>1656397</v>
      </c>
      <c r="BI23" s="28">
        <v>2</v>
      </c>
      <c r="BJ23" s="33" t="s">
        <v>46</v>
      </c>
      <c r="BK23" s="41">
        <v>922145</v>
      </c>
      <c r="BL23" s="29">
        <v>339109</v>
      </c>
      <c r="BM23" s="31" t="s">
        <v>28</v>
      </c>
      <c r="BN23" s="42">
        <v>345084</v>
      </c>
      <c r="BO23" s="37">
        <v>795384</v>
      </c>
      <c r="BP23" s="29">
        <v>464408</v>
      </c>
      <c r="BQ23" s="29">
        <f t="shared" si="27"/>
        <v>1606338</v>
      </c>
    </row>
    <row r="24" spans="2:69" ht="16.5" x14ac:dyDescent="0.3">
      <c r="B24" s="2"/>
      <c r="C24" s="7"/>
      <c r="D24" s="11" t="s">
        <v>86</v>
      </c>
      <c r="E24" s="12" t="s">
        <v>90</v>
      </c>
      <c r="F24" s="13">
        <v>1</v>
      </c>
      <c r="G24" s="13">
        <v>3</v>
      </c>
      <c r="H24" s="14">
        <v>100000</v>
      </c>
      <c r="I24" s="14">
        <f t="shared" ref="I24:I25" si="28">H24*0.19</f>
        <v>19000</v>
      </c>
      <c r="J24" s="14">
        <f t="shared" ref="J24:J33" si="29">(H24+I24)*F24*G24</f>
        <v>357000</v>
      </c>
      <c r="K24" s="9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8">
        <v>1</v>
      </c>
      <c r="AP24" s="34" t="s">
        <v>48</v>
      </c>
      <c r="AQ24" s="41">
        <v>972204</v>
      </c>
      <c r="AR24" s="29">
        <v>339109</v>
      </c>
      <c r="AS24" s="28" t="s">
        <v>26</v>
      </c>
      <c r="AT24" s="42">
        <v>345084</v>
      </c>
      <c r="AU24" s="37">
        <v>795384</v>
      </c>
      <c r="AV24" s="49">
        <v>464408</v>
      </c>
      <c r="AW24" s="52">
        <f t="shared" si="25"/>
        <v>1656397</v>
      </c>
      <c r="AY24" s="28">
        <v>2</v>
      </c>
      <c r="AZ24" s="33" t="s">
        <v>49</v>
      </c>
      <c r="BA24" s="64">
        <v>972204</v>
      </c>
      <c r="BB24" s="29">
        <v>339109</v>
      </c>
      <c r="BC24" s="31" t="s">
        <v>28</v>
      </c>
      <c r="BD24" s="65">
        <v>345084</v>
      </c>
      <c r="BE24" s="37">
        <v>795384</v>
      </c>
      <c r="BF24" s="49">
        <v>464408</v>
      </c>
      <c r="BG24" s="58">
        <f t="shared" si="26"/>
        <v>1656397</v>
      </c>
      <c r="BI24" s="28">
        <v>2</v>
      </c>
      <c r="BJ24" s="33" t="s">
        <v>49</v>
      </c>
      <c r="BK24" s="41">
        <v>922145</v>
      </c>
      <c r="BL24" s="29">
        <v>339109</v>
      </c>
      <c r="BM24" s="31" t="s">
        <v>28</v>
      </c>
      <c r="BN24" s="42">
        <v>345084</v>
      </c>
      <c r="BO24" s="37">
        <v>795384</v>
      </c>
      <c r="BP24" s="29">
        <v>464408</v>
      </c>
      <c r="BQ24" s="29">
        <f t="shared" si="27"/>
        <v>1606338</v>
      </c>
    </row>
    <row r="25" spans="2:69" ht="16.5" x14ac:dyDescent="0.3">
      <c r="B25" s="2"/>
      <c r="C25" s="7"/>
      <c r="D25" s="11" t="s">
        <v>87</v>
      </c>
      <c r="E25" s="12" t="s">
        <v>90</v>
      </c>
      <c r="F25" s="13">
        <v>1</v>
      </c>
      <c r="G25" s="13">
        <v>1</v>
      </c>
      <c r="H25" s="14">
        <v>300000</v>
      </c>
      <c r="I25" s="14">
        <f t="shared" si="28"/>
        <v>57000</v>
      </c>
      <c r="J25" s="14">
        <f t="shared" si="29"/>
        <v>357000</v>
      </c>
      <c r="K25" s="9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3">
        <v>1</v>
      </c>
      <c r="AP25" s="35" t="s">
        <v>51</v>
      </c>
      <c r="AQ25" s="60">
        <v>972204</v>
      </c>
      <c r="AR25" s="27">
        <v>339109</v>
      </c>
      <c r="AS25" s="23" t="s">
        <v>26</v>
      </c>
      <c r="AT25" s="44">
        <v>345084</v>
      </c>
      <c r="AU25" s="56">
        <v>795384</v>
      </c>
      <c r="AV25" s="50">
        <v>464408</v>
      </c>
      <c r="AW25" s="53">
        <f t="shared" si="25"/>
        <v>1656397</v>
      </c>
      <c r="AY25" s="23">
        <v>2</v>
      </c>
      <c r="AZ25" s="55" t="s">
        <v>52</v>
      </c>
      <c r="BA25" s="66">
        <v>972204</v>
      </c>
      <c r="BB25" s="27">
        <v>339109</v>
      </c>
      <c r="BC25" s="22" t="s">
        <v>28</v>
      </c>
      <c r="BD25" s="67">
        <v>345084</v>
      </c>
      <c r="BE25" s="56">
        <v>795384</v>
      </c>
      <c r="BF25" s="50">
        <v>464408</v>
      </c>
      <c r="BG25" s="59">
        <f t="shared" si="26"/>
        <v>1656397</v>
      </c>
      <c r="BI25" s="23">
        <v>2</v>
      </c>
      <c r="BJ25" s="55" t="s">
        <v>52</v>
      </c>
      <c r="BK25" s="43">
        <v>922145</v>
      </c>
      <c r="BL25" s="27">
        <v>339109</v>
      </c>
      <c r="BM25" s="22" t="s">
        <v>28</v>
      </c>
      <c r="BN25" s="44">
        <v>345084</v>
      </c>
      <c r="BO25" s="56">
        <v>795384</v>
      </c>
      <c r="BP25" s="27">
        <v>464408</v>
      </c>
      <c r="BQ25" s="27">
        <f t="shared" si="27"/>
        <v>1606338</v>
      </c>
    </row>
    <row r="26" spans="2:69" ht="16.5" x14ac:dyDescent="0.3">
      <c r="B26" s="2"/>
      <c r="C26" s="7"/>
      <c r="D26" s="11" t="s">
        <v>88</v>
      </c>
      <c r="E26" s="12" t="s">
        <v>90</v>
      </c>
      <c r="F26" s="13">
        <v>1</v>
      </c>
      <c r="G26" s="13">
        <v>3</v>
      </c>
      <c r="H26" s="14">
        <v>100000</v>
      </c>
      <c r="I26" s="14">
        <f t="shared" ref="I26:I27" si="30">H26*0.19</f>
        <v>19000</v>
      </c>
      <c r="J26" s="14">
        <f t="shared" si="29"/>
        <v>357000</v>
      </c>
      <c r="K26" s="9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8">
        <v>1</v>
      </c>
      <c r="AP26" s="34" t="s">
        <v>48</v>
      </c>
      <c r="AQ26" s="41">
        <v>972204</v>
      </c>
      <c r="AR26" s="29">
        <v>339109</v>
      </c>
      <c r="AS26" s="28" t="s">
        <v>26</v>
      </c>
      <c r="AT26" s="42">
        <v>345084</v>
      </c>
      <c r="AU26" s="37">
        <v>795384</v>
      </c>
      <c r="AV26" s="49">
        <v>464408</v>
      </c>
      <c r="AW26" s="52">
        <f t="shared" si="25"/>
        <v>1656397</v>
      </c>
      <c r="AY26" s="28">
        <v>2</v>
      </c>
      <c r="AZ26" s="33" t="s">
        <v>49</v>
      </c>
      <c r="BA26" s="64">
        <v>972204</v>
      </c>
      <c r="BB26" s="29">
        <v>339109</v>
      </c>
      <c r="BC26" s="31" t="s">
        <v>28</v>
      </c>
      <c r="BD26" s="65">
        <v>345084</v>
      </c>
      <c r="BE26" s="37">
        <v>795384</v>
      </c>
      <c r="BF26" s="49">
        <v>464408</v>
      </c>
      <c r="BG26" s="58">
        <f t="shared" si="26"/>
        <v>1656397</v>
      </c>
      <c r="BI26" s="28">
        <v>2</v>
      </c>
      <c r="BJ26" s="33" t="s">
        <v>49</v>
      </c>
      <c r="BK26" s="41">
        <v>922145</v>
      </c>
      <c r="BL26" s="29">
        <v>339109</v>
      </c>
      <c r="BM26" s="31" t="s">
        <v>28</v>
      </c>
      <c r="BN26" s="42">
        <v>345084</v>
      </c>
      <c r="BO26" s="37">
        <v>795384</v>
      </c>
      <c r="BP26" s="29">
        <v>464408</v>
      </c>
      <c r="BQ26" s="29">
        <f t="shared" si="27"/>
        <v>1606338</v>
      </c>
    </row>
    <row r="27" spans="2:69" ht="16.5" x14ac:dyDescent="0.3">
      <c r="B27" s="2"/>
      <c r="C27" s="7"/>
      <c r="D27" s="11" t="s">
        <v>89</v>
      </c>
      <c r="E27" s="12" t="s">
        <v>90</v>
      </c>
      <c r="F27" s="13">
        <v>1</v>
      </c>
      <c r="G27" s="13">
        <v>1</v>
      </c>
      <c r="H27" s="14">
        <v>100000</v>
      </c>
      <c r="I27" s="14">
        <f t="shared" si="30"/>
        <v>19000</v>
      </c>
      <c r="J27" s="14">
        <f t="shared" si="29"/>
        <v>119000</v>
      </c>
      <c r="K27" s="9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3">
        <v>1</v>
      </c>
      <c r="AP27" s="35" t="s">
        <v>51</v>
      </c>
      <c r="AQ27" s="60">
        <v>972204</v>
      </c>
      <c r="AR27" s="27">
        <v>339109</v>
      </c>
      <c r="AS27" s="23" t="s">
        <v>26</v>
      </c>
      <c r="AT27" s="44">
        <v>345084</v>
      </c>
      <c r="AU27" s="56">
        <v>795384</v>
      </c>
      <c r="AV27" s="50">
        <v>464408</v>
      </c>
      <c r="AW27" s="53">
        <f t="shared" si="25"/>
        <v>1656397</v>
      </c>
      <c r="AY27" s="23">
        <v>2</v>
      </c>
      <c r="AZ27" s="55" t="s">
        <v>52</v>
      </c>
      <c r="BA27" s="66">
        <v>972204</v>
      </c>
      <c r="BB27" s="27">
        <v>339109</v>
      </c>
      <c r="BC27" s="22" t="s">
        <v>28</v>
      </c>
      <c r="BD27" s="67">
        <v>345084</v>
      </c>
      <c r="BE27" s="56">
        <v>795384</v>
      </c>
      <c r="BF27" s="50">
        <v>464408</v>
      </c>
      <c r="BG27" s="59">
        <f t="shared" si="26"/>
        <v>1656397</v>
      </c>
      <c r="BI27" s="23">
        <v>2</v>
      </c>
      <c r="BJ27" s="55" t="s">
        <v>52</v>
      </c>
      <c r="BK27" s="43">
        <v>922145</v>
      </c>
      <c r="BL27" s="27">
        <v>339109</v>
      </c>
      <c r="BM27" s="22" t="s">
        <v>28</v>
      </c>
      <c r="BN27" s="44">
        <v>345084</v>
      </c>
      <c r="BO27" s="56">
        <v>795384</v>
      </c>
      <c r="BP27" s="27">
        <v>464408</v>
      </c>
      <c r="BQ27" s="27">
        <f t="shared" si="27"/>
        <v>1606338</v>
      </c>
    </row>
    <row r="28" spans="2:69" ht="16.5" x14ac:dyDescent="0.3">
      <c r="B28" s="2"/>
      <c r="C28" s="7"/>
      <c r="D28" s="11" t="s">
        <v>91</v>
      </c>
      <c r="E28" s="12" t="s">
        <v>55</v>
      </c>
      <c r="F28" s="13">
        <v>3</v>
      </c>
      <c r="G28" s="13">
        <v>1</v>
      </c>
      <c r="H28" s="14">
        <v>18000</v>
      </c>
      <c r="I28" s="14">
        <f t="shared" ref="I28:I29" si="31">H28*0.19</f>
        <v>3420</v>
      </c>
      <c r="J28" s="14">
        <f t="shared" si="29"/>
        <v>64260</v>
      </c>
      <c r="K28" s="9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8">
        <v>1</v>
      </c>
      <c r="AP28" s="34" t="s">
        <v>48</v>
      </c>
      <c r="AQ28" s="41">
        <v>972204</v>
      </c>
      <c r="AR28" s="29">
        <v>339109</v>
      </c>
      <c r="AS28" s="28" t="s">
        <v>26</v>
      </c>
      <c r="AT28" s="42">
        <v>345084</v>
      </c>
      <c r="AU28" s="37">
        <v>795384</v>
      </c>
      <c r="AV28" s="49">
        <v>464408</v>
      </c>
      <c r="AW28" s="52">
        <f t="shared" si="25"/>
        <v>1656397</v>
      </c>
      <c r="AY28" s="28">
        <v>2</v>
      </c>
      <c r="AZ28" s="33" t="s">
        <v>49</v>
      </c>
      <c r="BA28" s="64">
        <v>972204</v>
      </c>
      <c r="BB28" s="29">
        <v>339109</v>
      </c>
      <c r="BC28" s="31" t="s">
        <v>28</v>
      </c>
      <c r="BD28" s="65">
        <v>345084</v>
      </c>
      <c r="BE28" s="37">
        <v>795384</v>
      </c>
      <c r="BF28" s="49">
        <v>464408</v>
      </c>
      <c r="BG28" s="58">
        <f t="shared" si="26"/>
        <v>1656397</v>
      </c>
      <c r="BI28" s="28">
        <v>2</v>
      </c>
      <c r="BJ28" s="33" t="s">
        <v>49</v>
      </c>
      <c r="BK28" s="41">
        <v>922145</v>
      </c>
      <c r="BL28" s="29">
        <v>339109</v>
      </c>
      <c r="BM28" s="31" t="s">
        <v>28</v>
      </c>
      <c r="BN28" s="42">
        <v>345084</v>
      </c>
      <c r="BO28" s="37">
        <v>795384</v>
      </c>
      <c r="BP28" s="29">
        <v>464408</v>
      </c>
      <c r="BQ28" s="29">
        <f t="shared" si="27"/>
        <v>1606338</v>
      </c>
    </row>
    <row r="29" spans="2:69" ht="16.5" x14ac:dyDescent="0.3">
      <c r="B29" s="2"/>
      <c r="C29" s="7"/>
      <c r="D29" s="11" t="s">
        <v>92</v>
      </c>
      <c r="E29" s="12" t="s">
        <v>55</v>
      </c>
      <c r="F29" s="13">
        <v>3</v>
      </c>
      <c r="G29" s="13">
        <v>1</v>
      </c>
      <c r="H29" s="14">
        <v>17500</v>
      </c>
      <c r="I29" s="14">
        <f t="shared" si="31"/>
        <v>3325</v>
      </c>
      <c r="J29" s="14">
        <f t="shared" si="29"/>
        <v>62475</v>
      </c>
      <c r="K29" s="9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3">
        <v>1</v>
      </c>
      <c r="AP29" s="35" t="s">
        <v>51</v>
      </c>
      <c r="AQ29" s="60">
        <v>972204</v>
      </c>
      <c r="AR29" s="27">
        <v>339109</v>
      </c>
      <c r="AS29" s="23" t="s">
        <v>26</v>
      </c>
      <c r="AT29" s="44">
        <v>345084</v>
      </c>
      <c r="AU29" s="56">
        <v>795384</v>
      </c>
      <c r="AV29" s="50">
        <v>464408</v>
      </c>
      <c r="AW29" s="53">
        <f t="shared" si="25"/>
        <v>1656397</v>
      </c>
      <c r="AY29" s="23">
        <v>2</v>
      </c>
      <c r="AZ29" s="55" t="s">
        <v>52</v>
      </c>
      <c r="BA29" s="66">
        <v>972204</v>
      </c>
      <c r="BB29" s="27">
        <v>339109</v>
      </c>
      <c r="BC29" s="22" t="s">
        <v>28</v>
      </c>
      <c r="BD29" s="67">
        <v>345084</v>
      </c>
      <c r="BE29" s="56">
        <v>795384</v>
      </c>
      <c r="BF29" s="50">
        <v>464408</v>
      </c>
      <c r="BG29" s="59">
        <f t="shared" si="26"/>
        <v>1656397</v>
      </c>
      <c r="BI29" s="23">
        <v>2</v>
      </c>
      <c r="BJ29" s="55" t="s">
        <v>52</v>
      </c>
      <c r="BK29" s="43">
        <v>922145</v>
      </c>
      <c r="BL29" s="27">
        <v>339109</v>
      </c>
      <c r="BM29" s="22" t="s">
        <v>28</v>
      </c>
      <c r="BN29" s="44">
        <v>345084</v>
      </c>
      <c r="BO29" s="56">
        <v>795384</v>
      </c>
      <c r="BP29" s="27">
        <v>464408</v>
      </c>
      <c r="BQ29" s="27">
        <f t="shared" si="27"/>
        <v>1606338</v>
      </c>
    </row>
    <row r="30" spans="2:69" ht="16.5" x14ac:dyDescent="0.3">
      <c r="B30" s="2"/>
      <c r="C30" s="7"/>
      <c r="D30" s="11" t="s">
        <v>93</v>
      </c>
      <c r="E30" s="12" t="s">
        <v>55</v>
      </c>
      <c r="F30" s="13">
        <v>3</v>
      </c>
      <c r="G30" s="13">
        <v>1</v>
      </c>
      <c r="H30" s="14">
        <v>1400</v>
      </c>
      <c r="I30" s="14">
        <f t="shared" ref="I30:I33" si="32">H30*0.19</f>
        <v>266</v>
      </c>
      <c r="J30" s="14">
        <f t="shared" si="29"/>
        <v>4998</v>
      </c>
      <c r="K30" s="9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8">
        <v>1</v>
      </c>
      <c r="AP30" s="34" t="s">
        <v>48</v>
      </c>
      <c r="AQ30" s="41">
        <v>972204</v>
      </c>
      <c r="AR30" s="29">
        <v>339109</v>
      </c>
      <c r="AS30" s="28" t="s">
        <v>26</v>
      </c>
      <c r="AT30" s="42">
        <v>345084</v>
      </c>
      <c r="AU30" s="37">
        <v>795384</v>
      </c>
      <c r="AV30" s="49">
        <v>464408</v>
      </c>
      <c r="AW30" s="52">
        <f t="shared" si="25"/>
        <v>1656397</v>
      </c>
      <c r="AY30" s="28">
        <v>2</v>
      </c>
      <c r="AZ30" s="33" t="s">
        <v>49</v>
      </c>
      <c r="BA30" s="64">
        <v>972204</v>
      </c>
      <c r="BB30" s="29">
        <v>339109</v>
      </c>
      <c r="BC30" s="31" t="s">
        <v>28</v>
      </c>
      <c r="BD30" s="65">
        <v>345084</v>
      </c>
      <c r="BE30" s="37">
        <v>795384</v>
      </c>
      <c r="BF30" s="49">
        <v>464408</v>
      </c>
      <c r="BG30" s="58">
        <f t="shared" si="26"/>
        <v>1656397</v>
      </c>
      <c r="BI30" s="28">
        <v>2</v>
      </c>
      <c r="BJ30" s="33" t="s">
        <v>49</v>
      </c>
      <c r="BK30" s="41">
        <v>922145</v>
      </c>
      <c r="BL30" s="29">
        <v>339109</v>
      </c>
      <c r="BM30" s="31" t="s">
        <v>28</v>
      </c>
      <c r="BN30" s="42">
        <v>345084</v>
      </c>
      <c r="BO30" s="37">
        <v>795384</v>
      </c>
      <c r="BP30" s="29">
        <v>464408</v>
      </c>
      <c r="BQ30" s="29">
        <f t="shared" si="27"/>
        <v>1606338</v>
      </c>
    </row>
    <row r="31" spans="2:69" ht="16.5" x14ac:dyDescent="0.3">
      <c r="B31" s="2"/>
      <c r="C31" s="7"/>
      <c r="D31" s="11" t="s">
        <v>94</v>
      </c>
      <c r="E31" s="12" t="s">
        <v>55</v>
      </c>
      <c r="F31" s="13">
        <v>3</v>
      </c>
      <c r="G31" s="13">
        <v>1</v>
      </c>
      <c r="H31" s="14">
        <v>10000</v>
      </c>
      <c r="I31" s="14">
        <f t="shared" si="32"/>
        <v>1900</v>
      </c>
      <c r="J31" s="14">
        <f t="shared" si="29"/>
        <v>35700</v>
      </c>
      <c r="K31" s="9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3">
        <v>1</v>
      </c>
      <c r="AP31" s="35" t="s">
        <v>51</v>
      </c>
      <c r="AQ31" s="60">
        <v>972204</v>
      </c>
      <c r="AR31" s="27">
        <v>339109</v>
      </c>
      <c r="AS31" s="23" t="s">
        <v>26</v>
      </c>
      <c r="AT31" s="44">
        <v>345084</v>
      </c>
      <c r="AU31" s="56">
        <v>795384</v>
      </c>
      <c r="AV31" s="50">
        <v>464408</v>
      </c>
      <c r="AW31" s="53">
        <f t="shared" ref="AW31:AW33" si="33">+AQ31+AR31+AT31</f>
        <v>1656397</v>
      </c>
      <c r="AY31" s="23">
        <v>2</v>
      </c>
      <c r="AZ31" s="55" t="s">
        <v>52</v>
      </c>
      <c r="BA31" s="66">
        <v>972204</v>
      </c>
      <c r="BB31" s="27">
        <v>339109</v>
      </c>
      <c r="BC31" s="22" t="s">
        <v>28</v>
      </c>
      <c r="BD31" s="67">
        <v>345084</v>
      </c>
      <c r="BE31" s="56">
        <v>795384</v>
      </c>
      <c r="BF31" s="50">
        <v>464408</v>
      </c>
      <c r="BG31" s="59">
        <f t="shared" ref="BG31:BG33" si="34">+BA31+BB31+BD31</f>
        <v>1656397</v>
      </c>
      <c r="BI31" s="23">
        <v>2</v>
      </c>
      <c r="BJ31" s="55" t="s">
        <v>52</v>
      </c>
      <c r="BK31" s="43">
        <v>922145</v>
      </c>
      <c r="BL31" s="27">
        <v>339109</v>
      </c>
      <c r="BM31" s="22" t="s">
        <v>28</v>
      </c>
      <c r="BN31" s="44">
        <v>345084</v>
      </c>
      <c r="BO31" s="56">
        <v>795384</v>
      </c>
      <c r="BP31" s="27">
        <v>464408</v>
      </c>
      <c r="BQ31" s="27">
        <f t="shared" ref="BQ31:BQ33" si="35">+BK31+BL31+BN31</f>
        <v>1606338</v>
      </c>
    </row>
    <row r="32" spans="2:69" ht="16.5" x14ac:dyDescent="0.3">
      <c r="B32" s="2"/>
      <c r="C32" s="7"/>
      <c r="D32" s="11" t="s">
        <v>95</v>
      </c>
      <c r="E32" s="12" t="s">
        <v>55</v>
      </c>
      <c r="F32" s="13">
        <v>3</v>
      </c>
      <c r="G32" s="13">
        <v>1</v>
      </c>
      <c r="H32" s="14">
        <v>25000</v>
      </c>
      <c r="I32" s="14">
        <f t="shared" si="32"/>
        <v>4750</v>
      </c>
      <c r="J32" s="14">
        <f t="shared" si="29"/>
        <v>89250</v>
      </c>
      <c r="K32" s="9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8">
        <v>1</v>
      </c>
      <c r="AP32" s="34" t="s">
        <v>48</v>
      </c>
      <c r="AQ32" s="41">
        <v>972204</v>
      </c>
      <c r="AR32" s="29">
        <v>339109</v>
      </c>
      <c r="AS32" s="28" t="s">
        <v>26</v>
      </c>
      <c r="AT32" s="42">
        <v>345084</v>
      </c>
      <c r="AU32" s="37">
        <v>795384</v>
      </c>
      <c r="AV32" s="49">
        <v>464408</v>
      </c>
      <c r="AW32" s="52">
        <f t="shared" si="33"/>
        <v>1656397</v>
      </c>
      <c r="AY32" s="28">
        <v>2</v>
      </c>
      <c r="AZ32" s="33" t="s">
        <v>49</v>
      </c>
      <c r="BA32" s="64">
        <v>972204</v>
      </c>
      <c r="BB32" s="29">
        <v>339109</v>
      </c>
      <c r="BC32" s="31" t="s">
        <v>28</v>
      </c>
      <c r="BD32" s="65">
        <v>345084</v>
      </c>
      <c r="BE32" s="37">
        <v>795384</v>
      </c>
      <c r="BF32" s="49">
        <v>464408</v>
      </c>
      <c r="BG32" s="58">
        <f t="shared" si="34"/>
        <v>1656397</v>
      </c>
      <c r="BI32" s="28">
        <v>2</v>
      </c>
      <c r="BJ32" s="33" t="s">
        <v>49</v>
      </c>
      <c r="BK32" s="41">
        <v>922145</v>
      </c>
      <c r="BL32" s="29">
        <v>339109</v>
      </c>
      <c r="BM32" s="31" t="s">
        <v>28</v>
      </c>
      <c r="BN32" s="42">
        <v>345084</v>
      </c>
      <c r="BO32" s="37">
        <v>795384</v>
      </c>
      <c r="BP32" s="29">
        <v>464408</v>
      </c>
      <c r="BQ32" s="29">
        <f t="shared" si="35"/>
        <v>1606338</v>
      </c>
    </row>
    <row r="33" spans="2:69" ht="16.5" x14ac:dyDescent="0.3">
      <c r="B33" s="2"/>
      <c r="C33" s="7"/>
      <c r="D33" s="11" t="s">
        <v>96</v>
      </c>
      <c r="E33" s="12" t="s">
        <v>55</v>
      </c>
      <c r="F33" s="13">
        <v>3</v>
      </c>
      <c r="G33" s="13">
        <v>1</v>
      </c>
      <c r="H33" s="14">
        <v>23000</v>
      </c>
      <c r="I33" s="14">
        <f t="shared" si="32"/>
        <v>4370</v>
      </c>
      <c r="J33" s="14">
        <f t="shared" si="29"/>
        <v>82110</v>
      </c>
      <c r="K33" s="9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3">
        <v>1</v>
      </c>
      <c r="AP33" s="35" t="s">
        <v>51</v>
      </c>
      <c r="AQ33" s="60">
        <v>972204</v>
      </c>
      <c r="AR33" s="27">
        <v>339109</v>
      </c>
      <c r="AS33" s="23" t="s">
        <v>26</v>
      </c>
      <c r="AT33" s="44">
        <v>345084</v>
      </c>
      <c r="AU33" s="56">
        <v>795384</v>
      </c>
      <c r="AV33" s="50">
        <v>464408</v>
      </c>
      <c r="AW33" s="53">
        <f t="shared" si="33"/>
        <v>1656397</v>
      </c>
      <c r="AY33" s="23">
        <v>2</v>
      </c>
      <c r="AZ33" s="55" t="s">
        <v>52</v>
      </c>
      <c r="BA33" s="66">
        <v>972204</v>
      </c>
      <c r="BB33" s="27">
        <v>339109</v>
      </c>
      <c r="BC33" s="22" t="s">
        <v>28</v>
      </c>
      <c r="BD33" s="67">
        <v>345084</v>
      </c>
      <c r="BE33" s="56">
        <v>795384</v>
      </c>
      <c r="BF33" s="50">
        <v>464408</v>
      </c>
      <c r="BG33" s="59">
        <f t="shared" si="34"/>
        <v>1656397</v>
      </c>
      <c r="BI33" s="23">
        <v>2</v>
      </c>
      <c r="BJ33" s="55" t="s">
        <v>52</v>
      </c>
      <c r="BK33" s="43">
        <v>922145</v>
      </c>
      <c r="BL33" s="27">
        <v>339109</v>
      </c>
      <c r="BM33" s="22" t="s">
        <v>28</v>
      </c>
      <c r="BN33" s="44">
        <v>345084</v>
      </c>
      <c r="BO33" s="56">
        <v>795384</v>
      </c>
      <c r="BP33" s="27">
        <v>464408</v>
      </c>
      <c r="BQ33" s="27">
        <f t="shared" si="35"/>
        <v>1606338</v>
      </c>
    </row>
    <row r="34" spans="2:69" ht="14.25" thickBot="1" x14ac:dyDescent="0.3">
      <c r="B34" s="2"/>
      <c r="D34" s="101"/>
      <c r="E34" s="96"/>
      <c r="F34" s="96"/>
      <c r="G34" s="96"/>
      <c r="H34" s="97"/>
      <c r="I34" s="97"/>
      <c r="J34" s="10">
        <f>SUM(J24:J33)</f>
        <v>1528793</v>
      </c>
      <c r="K34" s="4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21"/>
      <c r="AO34" s="23">
        <v>1</v>
      </c>
      <c r="AP34" s="35" t="s">
        <v>56</v>
      </c>
      <c r="AQ34" s="60">
        <v>972204</v>
      </c>
      <c r="AR34" s="45">
        <v>339109</v>
      </c>
      <c r="AS34" s="46" t="s">
        <v>26</v>
      </c>
      <c r="AT34" s="47">
        <v>345084</v>
      </c>
      <c r="AU34" s="56">
        <v>795384</v>
      </c>
      <c r="AV34" s="50">
        <v>464408</v>
      </c>
      <c r="AW34" s="54">
        <f t="shared" si="25"/>
        <v>1656397</v>
      </c>
    </row>
    <row r="35" spans="2:69" ht="13.5" thickTop="1" x14ac:dyDescent="0.2">
      <c r="B35" s="2"/>
      <c r="K35" s="4"/>
    </row>
    <row r="36" spans="2:69" ht="13.5" x14ac:dyDescent="0.25">
      <c r="B36" s="2"/>
      <c r="G36" s="5" t="s">
        <v>66</v>
      </c>
      <c r="H36" s="5"/>
      <c r="I36" s="6"/>
      <c r="J36" s="92">
        <f>+J10+J20+J34</f>
        <v>3312193</v>
      </c>
      <c r="K36" s="4"/>
    </row>
    <row r="37" spans="2:69" ht="13.5" x14ac:dyDescent="0.25">
      <c r="B37" s="2"/>
      <c r="G37" s="5" t="s">
        <v>116</v>
      </c>
      <c r="H37" s="5"/>
      <c r="I37" s="93">
        <v>0.15</v>
      </c>
      <c r="J37" s="92">
        <f>+J36*I37</f>
        <v>496828.94999999995</v>
      </c>
      <c r="K37" s="4"/>
    </row>
    <row r="38" spans="2:69" ht="13.5" x14ac:dyDescent="0.25">
      <c r="B38" s="2"/>
      <c r="G38" s="5" t="s">
        <v>64</v>
      </c>
      <c r="H38" s="5"/>
      <c r="I38" s="93">
        <v>0.45</v>
      </c>
      <c r="J38" s="92">
        <f>+J36+J37*I38</f>
        <v>3535766.0274999999</v>
      </c>
      <c r="K38" s="4"/>
    </row>
    <row r="39" spans="2:69" ht="15" customHeight="1" x14ac:dyDescent="0.25">
      <c r="B39" s="2"/>
      <c r="G39" s="5" t="s">
        <v>65</v>
      </c>
      <c r="H39" s="94"/>
      <c r="I39" s="95"/>
      <c r="J39" s="92">
        <f>SUM(J36:J38)</f>
        <v>7344787.9775</v>
      </c>
      <c r="K39" s="4"/>
    </row>
    <row r="40" spans="2:69" ht="13.5" thickBot="1" x14ac:dyDescent="0.25">
      <c r="B40" s="102"/>
      <c r="C40" s="103"/>
      <c r="D40" s="103"/>
      <c r="E40" s="103"/>
      <c r="F40" s="103"/>
      <c r="G40" s="103"/>
      <c r="H40" s="103"/>
      <c r="I40" s="103"/>
      <c r="J40" s="103"/>
      <c r="K40" s="104"/>
    </row>
  </sheetData>
  <mergeCells count="6">
    <mergeCell ref="D22:E22"/>
    <mergeCell ref="D11:E11"/>
    <mergeCell ref="B1:K1"/>
    <mergeCell ref="B2:K2"/>
    <mergeCell ref="D3:J3"/>
    <mergeCell ref="D4:E4"/>
  </mergeCells>
  <phoneticPr fontId="9" type="noConversion"/>
  <pageMargins left="0.7" right="0.7" top="0.75" bottom="0.75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BCCA-3194-4210-8916-030990D9D960}">
  <sheetPr>
    <pageSetUpPr fitToPage="1"/>
  </sheetPr>
  <dimension ref="B2:X21"/>
  <sheetViews>
    <sheetView showGridLines="0" tabSelected="1" zoomScale="107" zoomScaleNormal="40" workbookViewId="0">
      <selection activeCell="Z4" sqref="Z4"/>
    </sheetView>
  </sheetViews>
  <sheetFormatPr baseColWidth="10" defaultColWidth="11.42578125" defaultRowHeight="15" x14ac:dyDescent="0.25"/>
  <cols>
    <col min="1" max="1" width="3.42578125" customWidth="1"/>
    <col min="2" max="2" width="4.7109375" style="15" customWidth="1"/>
    <col min="3" max="3" width="74.7109375" bestFit="1" customWidth="1"/>
    <col min="4" max="24" width="2.5703125" customWidth="1"/>
  </cols>
  <sheetData>
    <row r="2" spans="2:24" x14ac:dyDescent="0.25">
      <c r="B2" s="119"/>
      <c r="C2" s="123" t="s">
        <v>98</v>
      </c>
      <c r="D2" s="125" t="s">
        <v>58</v>
      </c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</row>
    <row r="3" spans="2:24" x14ac:dyDescent="0.25">
      <c r="B3" s="120"/>
      <c r="C3" s="124"/>
      <c r="D3" s="122" t="s">
        <v>59</v>
      </c>
      <c r="E3" s="122"/>
      <c r="F3" s="122"/>
      <c r="G3" s="122"/>
      <c r="H3" s="122"/>
      <c r="I3" s="122"/>
      <c r="J3" s="122"/>
      <c r="K3" s="122" t="s">
        <v>60</v>
      </c>
      <c r="L3" s="122"/>
      <c r="M3" s="122"/>
      <c r="N3" s="122"/>
      <c r="O3" s="122"/>
      <c r="P3" s="122"/>
      <c r="Q3" s="122"/>
      <c r="R3" s="122" t="s">
        <v>118</v>
      </c>
      <c r="S3" s="122"/>
      <c r="T3" s="122"/>
      <c r="U3" s="122"/>
      <c r="V3" s="122"/>
      <c r="W3" s="122"/>
      <c r="X3" s="122"/>
    </row>
    <row r="4" spans="2:24" x14ac:dyDescent="0.25">
      <c r="B4" s="120"/>
      <c r="C4" s="124"/>
      <c r="D4" s="80" t="s">
        <v>57</v>
      </c>
      <c r="E4" s="80" t="s">
        <v>57</v>
      </c>
      <c r="F4" s="80" t="s">
        <v>57</v>
      </c>
      <c r="G4" s="80" t="s">
        <v>57</v>
      </c>
      <c r="H4" s="80" t="s">
        <v>57</v>
      </c>
      <c r="I4" s="80" t="s">
        <v>57</v>
      </c>
      <c r="J4" s="80" t="s">
        <v>57</v>
      </c>
      <c r="K4" s="80" t="s">
        <v>57</v>
      </c>
      <c r="L4" s="80" t="s">
        <v>57</v>
      </c>
      <c r="M4" s="80" t="s">
        <v>57</v>
      </c>
      <c r="N4" s="80" t="s">
        <v>57</v>
      </c>
      <c r="O4" s="80" t="s">
        <v>57</v>
      </c>
      <c r="P4" s="80" t="s">
        <v>57</v>
      </c>
      <c r="Q4" s="80" t="s">
        <v>57</v>
      </c>
      <c r="R4" s="80" t="s">
        <v>57</v>
      </c>
      <c r="S4" s="80" t="s">
        <v>57</v>
      </c>
      <c r="T4" s="80" t="s">
        <v>57</v>
      </c>
      <c r="U4" s="80" t="s">
        <v>57</v>
      </c>
      <c r="V4" s="80" t="s">
        <v>57</v>
      </c>
      <c r="W4" s="80" t="s">
        <v>57</v>
      </c>
      <c r="X4" s="80" t="s">
        <v>57</v>
      </c>
    </row>
    <row r="5" spans="2:24" x14ac:dyDescent="0.25">
      <c r="B5" s="121"/>
      <c r="C5" s="124"/>
      <c r="D5" s="80">
        <v>15</v>
      </c>
      <c r="E5" s="80">
        <v>16</v>
      </c>
      <c r="F5" s="80">
        <v>17</v>
      </c>
      <c r="G5" s="80">
        <v>18</v>
      </c>
      <c r="H5" s="80">
        <v>19</v>
      </c>
      <c r="I5" s="80">
        <v>20</v>
      </c>
      <c r="J5" s="80">
        <v>21</v>
      </c>
      <c r="K5" s="80">
        <v>22</v>
      </c>
      <c r="L5" s="80">
        <v>23</v>
      </c>
      <c r="M5" s="80">
        <v>24</v>
      </c>
      <c r="N5" s="80">
        <v>25</v>
      </c>
      <c r="O5" s="80">
        <v>26</v>
      </c>
      <c r="P5" s="80">
        <v>27</v>
      </c>
      <c r="Q5" s="80">
        <v>28</v>
      </c>
      <c r="R5" s="80">
        <v>22</v>
      </c>
      <c r="S5" s="80">
        <v>23</v>
      </c>
      <c r="T5" s="80">
        <v>24</v>
      </c>
      <c r="U5" s="80">
        <v>25</v>
      </c>
      <c r="V5" s="80">
        <v>26</v>
      </c>
      <c r="W5" s="80">
        <v>27</v>
      </c>
      <c r="X5" s="80">
        <v>28</v>
      </c>
    </row>
    <row r="6" spans="2:24" ht="15.75" x14ac:dyDescent="0.25">
      <c r="B6" s="81"/>
      <c r="C6" s="82" t="s">
        <v>99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</row>
    <row r="7" spans="2:24" x14ac:dyDescent="0.25">
      <c r="B7" s="74" t="s">
        <v>61</v>
      </c>
      <c r="C7" s="75" t="s">
        <v>62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</row>
    <row r="8" spans="2:24" x14ac:dyDescent="0.25">
      <c r="B8" s="77" t="s">
        <v>6</v>
      </c>
      <c r="C8" s="78" t="s">
        <v>101</v>
      </c>
      <c r="D8" s="83"/>
      <c r="E8" s="79"/>
      <c r="F8" s="79"/>
      <c r="G8" s="79"/>
      <c r="H8" s="79"/>
      <c r="I8" s="84"/>
      <c r="J8" s="84"/>
      <c r="K8" s="79"/>
      <c r="L8" s="79"/>
      <c r="M8" s="79"/>
      <c r="N8" s="84"/>
      <c r="O8" s="79"/>
      <c r="P8" s="84"/>
      <c r="Q8" s="84"/>
      <c r="R8" s="79"/>
      <c r="S8" s="79"/>
      <c r="T8" s="79"/>
      <c r="U8" s="84"/>
      <c r="V8" s="79"/>
      <c r="W8" s="84"/>
      <c r="X8" s="84"/>
    </row>
    <row r="9" spans="2:24" x14ac:dyDescent="0.25">
      <c r="B9" s="77" t="s">
        <v>7</v>
      </c>
      <c r="C9" s="78" t="s">
        <v>102</v>
      </c>
      <c r="D9" s="83"/>
      <c r="E9" s="83"/>
      <c r="F9" s="79"/>
      <c r="G9" s="79"/>
      <c r="H9" s="79"/>
      <c r="I9" s="84"/>
      <c r="J9" s="84"/>
      <c r="K9" s="79"/>
      <c r="L9" s="79"/>
      <c r="M9" s="79"/>
      <c r="N9" s="84"/>
      <c r="O9" s="79"/>
      <c r="P9" s="84"/>
      <c r="Q9" s="84"/>
      <c r="R9" s="79"/>
      <c r="S9" s="79"/>
      <c r="T9" s="79"/>
      <c r="U9" s="84"/>
      <c r="V9" s="79"/>
      <c r="W9" s="84"/>
      <c r="X9" s="84"/>
    </row>
    <row r="10" spans="2:24" x14ac:dyDescent="0.25">
      <c r="B10" s="77" t="s">
        <v>8</v>
      </c>
      <c r="C10" s="78" t="s">
        <v>100</v>
      </c>
      <c r="D10" s="91"/>
      <c r="E10" s="79"/>
      <c r="F10" s="83"/>
      <c r="G10" s="83"/>
      <c r="H10" s="79"/>
      <c r="I10" s="84"/>
      <c r="J10" s="84"/>
      <c r="K10" s="79"/>
      <c r="L10" s="79"/>
      <c r="M10" s="79"/>
      <c r="N10" s="84"/>
      <c r="O10" s="79"/>
      <c r="P10" s="84"/>
      <c r="Q10" s="84"/>
      <c r="R10" s="79"/>
      <c r="S10" s="79"/>
      <c r="T10" s="79"/>
      <c r="U10" s="84"/>
      <c r="V10" s="79"/>
      <c r="W10" s="84"/>
      <c r="X10" s="84"/>
    </row>
    <row r="11" spans="2:24" x14ac:dyDescent="0.25">
      <c r="B11" s="77" t="s">
        <v>9</v>
      </c>
      <c r="C11" s="78" t="s">
        <v>103</v>
      </c>
      <c r="D11" s="91"/>
      <c r="E11" s="91"/>
      <c r="F11" s="83"/>
      <c r="G11" s="83"/>
      <c r="H11" s="79"/>
      <c r="I11" s="84"/>
      <c r="J11" s="84"/>
      <c r="K11" s="79"/>
      <c r="L11" s="79"/>
      <c r="M11" s="79"/>
      <c r="N11" s="84"/>
      <c r="O11" s="79"/>
      <c r="P11" s="84"/>
      <c r="Q11" s="84"/>
      <c r="R11" s="79"/>
      <c r="S11" s="79"/>
      <c r="T11" s="79"/>
      <c r="U11" s="84"/>
      <c r="V11" s="79"/>
      <c r="W11" s="84"/>
      <c r="X11" s="84"/>
    </row>
    <row r="12" spans="2:24" x14ac:dyDescent="0.25">
      <c r="B12" s="77" t="s">
        <v>10</v>
      </c>
      <c r="C12" s="78" t="s">
        <v>104</v>
      </c>
      <c r="D12" s="79"/>
      <c r="E12" s="91"/>
      <c r="F12" s="83"/>
      <c r="G12" s="83"/>
      <c r="H12" s="79"/>
      <c r="I12" s="84"/>
      <c r="J12" s="84"/>
      <c r="K12" s="79"/>
      <c r="L12" s="79"/>
      <c r="M12" s="79"/>
      <c r="N12" s="84"/>
      <c r="O12" s="79"/>
      <c r="P12" s="84"/>
      <c r="Q12" s="84"/>
      <c r="R12" s="79"/>
      <c r="S12" s="79"/>
      <c r="T12" s="79"/>
      <c r="U12" s="84"/>
      <c r="V12" s="79"/>
      <c r="W12" s="84"/>
      <c r="X12" s="84"/>
    </row>
    <row r="13" spans="2:24" x14ac:dyDescent="0.25">
      <c r="B13" s="77" t="s">
        <v>11</v>
      </c>
      <c r="C13" s="78" t="s">
        <v>105</v>
      </c>
      <c r="D13" s="79"/>
      <c r="E13" s="91"/>
      <c r="F13" s="83"/>
      <c r="G13" s="83"/>
      <c r="H13" s="79"/>
      <c r="I13" s="84"/>
      <c r="J13" s="84"/>
      <c r="K13" s="79"/>
      <c r="L13" s="79"/>
      <c r="M13" s="79"/>
      <c r="N13" s="84"/>
      <c r="O13" s="79"/>
      <c r="P13" s="84"/>
      <c r="Q13" s="84"/>
      <c r="R13" s="79"/>
      <c r="S13" s="79"/>
      <c r="T13" s="79"/>
      <c r="U13" s="84"/>
      <c r="V13" s="79"/>
      <c r="W13" s="84"/>
      <c r="X13" s="84"/>
    </row>
    <row r="14" spans="2:24" x14ac:dyDescent="0.25">
      <c r="B14" s="77" t="s">
        <v>12</v>
      </c>
      <c r="C14" s="78" t="s">
        <v>106</v>
      </c>
      <c r="D14" s="79"/>
      <c r="E14" s="91"/>
      <c r="F14" s="83"/>
      <c r="G14" s="83"/>
      <c r="H14" s="79"/>
      <c r="I14" s="84"/>
      <c r="J14" s="84"/>
      <c r="K14" s="79"/>
      <c r="L14" s="79"/>
      <c r="M14" s="79"/>
      <c r="N14" s="84"/>
      <c r="O14" s="79"/>
      <c r="P14" s="84"/>
      <c r="Q14" s="84"/>
      <c r="R14" s="79"/>
      <c r="S14" s="79"/>
      <c r="T14" s="79"/>
      <c r="U14" s="84"/>
      <c r="V14" s="79"/>
      <c r="W14" s="84"/>
      <c r="X14" s="84"/>
    </row>
    <row r="15" spans="2:24" x14ac:dyDescent="0.25">
      <c r="B15" s="77" t="s">
        <v>108</v>
      </c>
      <c r="C15" s="78" t="s">
        <v>107</v>
      </c>
      <c r="D15" s="79"/>
      <c r="E15" s="91"/>
      <c r="F15" s="83"/>
      <c r="G15" s="83"/>
      <c r="H15" s="79"/>
      <c r="I15" s="84"/>
      <c r="J15" s="84"/>
      <c r="K15" s="79"/>
      <c r="L15" s="79"/>
      <c r="M15" s="79"/>
      <c r="N15" s="84"/>
      <c r="O15" s="79"/>
      <c r="P15" s="84"/>
      <c r="Q15" s="84"/>
      <c r="R15" s="79"/>
      <c r="S15" s="79"/>
      <c r="T15" s="79"/>
      <c r="U15" s="84"/>
      <c r="V15" s="79"/>
      <c r="W15" s="84"/>
      <c r="X15" s="84"/>
    </row>
    <row r="16" spans="2:24" ht="15.75" x14ac:dyDescent="0.25">
      <c r="B16" s="81"/>
      <c r="C16" s="82" t="s">
        <v>109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</row>
    <row r="17" spans="2:24" x14ac:dyDescent="0.25">
      <c r="B17" s="74" t="s">
        <v>63</v>
      </c>
      <c r="C17" s="75" t="s">
        <v>62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</row>
    <row r="18" spans="2:24" x14ac:dyDescent="0.25">
      <c r="B18" s="77" t="s">
        <v>47</v>
      </c>
      <c r="C18" s="78" t="s">
        <v>111</v>
      </c>
      <c r="D18" s="91"/>
      <c r="E18" s="91"/>
      <c r="F18" s="79"/>
      <c r="G18" s="79"/>
      <c r="H18" s="83"/>
      <c r="I18" s="83"/>
      <c r="J18" s="83"/>
      <c r="K18" s="83"/>
      <c r="L18" s="91"/>
      <c r="M18" s="79"/>
      <c r="N18" s="84"/>
      <c r="O18" s="79"/>
      <c r="P18" s="84"/>
      <c r="Q18" s="84"/>
      <c r="R18" s="83"/>
      <c r="S18" s="91"/>
      <c r="T18" s="79"/>
      <c r="U18" s="84"/>
      <c r="V18" s="79"/>
      <c r="W18" s="84"/>
      <c r="X18" s="84"/>
    </row>
    <row r="19" spans="2:24" x14ac:dyDescent="0.25">
      <c r="B19" s="77" t="s">
        <v>50</v>
      </c>
      <c r="C19" s="78" t="s">
        <v>110</v>
      </c>
      <c r="D19" s="91"/>
      <c r="E19" s="91"/>
      <c r="F19" s="79"/>
      <c r="G19" s="79"/>
      <c r="H19" s="83"/>
      <c r="I19" s="83"/>
      <c r="J19" s="84"/>
      <c r="K19" s="79"/>
      <c r="L19" s="79"/>
      <c r="M19" s="79"/>
      <c r="N19" s="84"/>
      <c r="O19" s="79"/>
      <c r="P19" s="84"/>
      <c r="Q19" s="84"/>
      <c r="R19" s="79"/>
      <c r="S19" s="79"/>
      <c r="T19" s="79"/>
      <c r="U19" s="84"/>
      <c r="V19" s="79"/>
      <c r="W19" s="84"/>
      <c r="X19" s="84"/>
    </row>
    <row r="20" spans="2:24" x14ac:dyDescent="0.25">
      <c r="B20" s="77" t="s">
        <v>53</v>
      </c>
      <c r="C20" s="78" t="s">
        <v>112</v>
      </c>
      <c r="D20" s="91"/>
      <c r="E20" s="91"/>
      <c r="F20" s="79"/>
      <c r="G20" s="79"/>
      <c r="H20" s="79"/>
      <c r="I20" s="84"/>
      <c r="J20" s="84"/>
      <c r="K20" s="83"/>
      <c r="L20" s="83"/>
      <c r="M20" s="79"/>
      <c r="N20" s="84"/>
      <c r="O20" s="79"/>
      <c r="P20" s="84"/>
      <c r="Q20" s="84"/>
      <c r="R20" s="83"/>
      <c r="S20" s="83"/>
      <c r="T20" s="79"/>
      <c r="U20" s="84"/>
      <c r="V20" s="79"/>
      <c r="W20" s="84"/>
      <c r="X20" s="84"/>
    </row>
    <row r="21" spans="2:24" x14ac:dyDescent="0.25">
      <c r="B21" s="77" t="s">
        <v>54</v>
      </c>
      <c r="C21" s="78" t="s">
        <v>113</v>
      </c>
      <c r="D21" s="91"/>
      <c r="E21" s="91"/>
      <c r="F21" s="79"/>
      <c r="G21" s="79"/>
      <c r="H21" s="79"/>
      <c r="I21" s="84"/>
      <c r="J21" s="84"/>
      <c r="K21" s="79"/>
      <c r="L21" s="83"/>
      <c r="M21" s="79"/>
      <c r="N21" s="84"/>
      <c r="O21" s="79"/>
      <c r="P21" s="84"/>
      <c r="Q21" s="84"/>
      <c r="R21" s="79"/>
      <c r="S21" s="83"/>
      <c r="T21" s="79"/>
      <c r="U21" s="84"/>
      <c r="V21" s="79"/>
      <c r="W21" s="84"/>
      <c r="X21" s="84"/>
    </row>
  </sheetData>
  <mergeCells count="6">
    <mergeCell ref="R3:X3"/>
    <mergeCell ref="D2:X2"/>
    <mergeCell ref="B2:B5"/>
    <mergeCell ref="C2:C5"/>
    <mergeCell ref="D3:J3"/>
    <mergeCell ref="K3:Q3"/>
  </mergeCells>
  <phoneticPr fontId="9" type="noConversion"/>
  <pageMargins left="0.25" right="0.25" top="0.75" bottom="0.75" header="0.3" footer="0.3"/>
  <pageSetup paperSize="9" scale="3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263e2e3-1cc2-4a41-8f1f-1c1faa470186">
      <UserInfo>
        <DisplayName>Francisco Bravo</DisplayName>
        <AccountId>33</AccountId>
        <AccountType/>
      </UserInfo>
      <UserInfo>
        <DisplayName>Sergio Diaz</DisplayName>
        <AccountId>35</AccountId>
        <AccountType/>
      </UserInfo>
      <UserInfo>
        <DisplayName>Monica Palma</DisplayName>
        <AccountId>12</AccountId>
        <AccountType/>
      </UserInfo>
    </SharedWithUsers>
    <TaxCatchAll xmlns="a263e2e3-1cc2-4a41-8f1f-1c1faa470186" xsi:nil="true"/>
    <lcf76f155ced4ddcb4097134ff3c332f xmlns="14bde6b5-b416-4da8-8e54-e55c7f3151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4651ED1C4922469003CB644EEE5BB5" ma:contentTypeVersion="18" ma:contentTypeDescription="Crear nuevo documento." ma:contentTypeScope="" ma:versionID="f86a02a7179e5e47659af623e7b328ac">
  <xsd:schema xmlns:xsd="http://www.w3.org/2001/XMLSchema" xmlns:xs="http://www.w3.org/2001/XMLSchema" xmlns:p="http://schemas.microsoft.com/office/2006/metadata/properties" xmlns:ns2="14bde6b5-b416-4da8-8e54-e55c7f3151a2" xmlns:ns3="a263e2e3-1cc2-4a41-8f1f-1c1faa470186" targetNamespace="http://schemas.microsoft.com/office/2006/metadata/properties" ma:root="true" ma:fieldsID="c9ad9167a72706895517609400a0fd55" ns2:_="" ns3:_="">
    <xsd:import namespace="14bde6b5-b416-4da8-8e54-e55c7f3151a2"/>
    <xsd:import namespace="a263e2e3-1cc2-4a41-8f1f-1c1faa4701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de6b5-b416-4da8-8e54-e55c7f315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48aa4ab6-b97c-4060-920c-e2b3dcc50b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3e2e3-1cc2-4a41-8f1f-1c1faa4701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9975173-813d-42f5-b63f-2d2a5b55d4a0}" ma:internalName="TaxCatchAll" ma:showField="CatchAllData" ma:web="a263e2e3-1cc2-4a41-8f1f-1c1faa4701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D77B62-9991-4EA5-A2EC-3B78335D0256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a263e2e3-1cc2-4a41-8f1f-1c1faa470186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14bde6b5-b416-4da8-8e54-e55c7f3151a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4401C1F-CB3B-4450-9864-52ADACDAB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350AE8-396F-4506-A285-8CC38C1073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bde6b5-b416-4da8-8e54-e55c7f3151a2"/>
    <ds:schemaRef ds:uri="a263e2e3-1cc2-4a41-8f1f-1c1faa470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PR-ECO-TRANSELEC CRUCETAS</vt:lpstr>
      <vt:lpstr>PROPUESTA ECONOMICA ETAPA 1</vt:lpstr>
      <vt:lpstr>CARTA GANTT</vt:lpstr>
      <vt:lpstr>'PROPUESTA ECONOMICA ETAPA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Vargas</dc:creator>
  <cp:keywords/>
  <dc:description/>
  <cp:lastModifiedBy>JuanPa Reyes</cp:lastModifiedBy>
  <cp:revision/>
  <cp:lastPrinted>2025-11-03T16:19:59Z</cp:lastPrinted>
  <dcterms:created xsi:type="dcterms:W3CDTF">2020-07-08T15:50:25Z</dcterms:created>
  <dcterms:modified xsi:type="dcterms:W3CDTF">2026-02-25T18:50:08Z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0x010100E74651ED1C4922469003CB644EEE5BB5</vt:lpwstr>
  </property>
  <property fmtid="{D5CDD505-2E9C-101B-9397-08002B2CF9AE}" pid="3" name="MediaServiceImageTags">
    <vt:lpwstr/>
  </property>
</Properties>
</file>